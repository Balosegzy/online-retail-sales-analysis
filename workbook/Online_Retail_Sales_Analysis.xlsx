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3.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SEGUM\Documents\"/>
    </mc:Choice>
  </mc:AlternateContent>
  <bookViews>
    <workbookView xWindow="0" yWindow="0" windowWidth="16815" windowHeight="9030" tabRatio="599" activeTab="3"/>
  </bookViews>
  <sheets>
    <sheet name="Dashboard" sheetId="1" r:id="rId1"/>
    <sheet name="Monthly - Pivot Tables" sheetId="8" r:id="rId2"/>
    <sheet name="Monthly Performance" sheetId="2" r:id="rId3"/>
    <sheet name="Country - Pivot Tables" sheetId="9" r:id="rId4"/>
    <sheet name="Country Performance" sheetId="3" r:id="rId5"/>
    <sheet name="Products - Pivot Tables" sheetId="11" r:id="rId6"/>
    <sheet name="Product Performance" sheetId="4" r:id="rId7"/>
    <sheet name="Customer - Pivot Tables" sheetId="12" r:id="rId8"/>
    <sheet name="Customer Performance" sheetId="5" r:id="rId9"/>
    <sheet name="Cancellations" sheetId="6" r:id="rId10"/>
    <sheet name="Revenue Concentration" sheetId="7" r:id="rId11"/>
  </sheets>
  <definedNames>
    <definedName name="Slicer_Country">#N/A</definedName>
    <definedName name="Slicer_Stockcode">#N/A</definedName>
    <definedName name="Slicer_Year">#N/A</definedName>
  </definedNames>
  <calcPr calcId="152511"/>
  <pivotCaches>
    <pivotCache cacheId="0" r:id="rId12"/>
    <pivotCache cacheId="1" r:id="rId13"/>
    <pivotCache cacheId="2" r:id="rId14"/>
    <pivotCache cacheId="3"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 i="1" l="1"/>
  <c r="J7" i="1"/>
  <c r="G7" i="1"/>
  <c r="D7" i="1"/>
  <c r="A7" i="1"/>
  <c r="D3" i="2" l="1"/>
  <c r="D4" i="2"/>
  <c r="D5" i="2"/>
  <c r="D6" i="2"/>
  <c r="D7" i="2"/>
  <c r="D8" i="2"/>
  <c r="D9" i="2"/>
  <c r="D10" i="2"/>
  <c r="D11" i="2"/>
  <c r="D12" i="2"/>
  <c r="D13" i="2"/>
  <c r="D14" i="2"/>
  <c r="D2" i="2"/>
  <c r="C2" i="2" l="1"/>
  <c r="C3" i="2"/>
  <c r="C4" i="2"/>
  <c r="C5" i="2"/>
  <c r="C6" i="2"/>
  <c r="C7" i="2"/>
  <c r="C8" i="2"/>
  <c r="C9" i="2"/>
  <c r="C10" i="2"/>
  <c r="C11" i="2"/>
  <c r="C12" i="2"/>
  <c r="C13" i="2"/>
  <c r="C14" i="2"/>
</calcChain>
</file>

<file path=xl/sharedStrings.xml><?xml version="1.0" encoding="utf-8"?>
<sst xmlns="http://schemas.openxmlformats.org/spreadsheetml/2006/main" count="159" uniqueCount="87">
  <si>
    <t>Year</t>
  </si>
  <si>
    <t>Month</t>
  </si>
  <si>
    <t>Total_Revenue</t>
  </si>
  <si>
    <t>Total_Quantity</t>
  </si>
  <si>
    <t>Transaction_Records</t>
  </si>
  <si>
    <t>Avg_Revenue_Per_Record</t>
  </si>
  <si>
    <t>Month_Name</t>
  </si>
  <si>
    <t>Unique_Orders</t>
  </si>
  <si>
    <t>United Kingdom</t>
  </si>
  <si>
    <t>Netherlands</t>
  </si>
  <si>
    <t>EIRE</t>
  </si>
  <si>
    <t>Germany</t>
  </si>
  <si>
    <t>France</t>
  </si>
  <si>
    <t>Australia</t>
  </si>
  <si>
    <t>Switzerland</t>
  </si>
  <si>
    <t>Spain</t>
  </si>
  <si>
    <t>Belgium</t>
  </si>
  <si>
    <t>Sweden</t>
  </si>
  <si>
    <t>Japan</t>
  </si>
  <si>
    <t>Norway</t>
  </si>
  <si>
    <t>Portugal</t>
  </si>
  <si>
    <t>Finland</t>
  </si>
  <si>
    <t>Channel Islands</t>
  </si>
  <si>
    <t>Denmark</t>
  </si>
  <si>
    <t>Italy</t>
  </si>
  <si>
    <t>Cyprus</t>
  </si>
  <si>
    <t>Austria</t>
  </si>
  <si>
    <t>Hong Kong</t>
  </si>
  <si>
    <t>Singapore</t>
  </si>
  <si>
    <t>Israel</t>
  </si>
  <si>
    <t>Poland</t>
  </si>
  <si>
    <t>Unspecified</t>
  </si>
  <si>
    <t>Greece</t>
  </si>
  <si>
    <t>Iceland</t>
  </si>
  <si>
    <t>Canada</t>
  </si>
  <si>
    <t>Malta</t>
  </si>
  <si>
    <t>United Arab Emirates</t>
  </si>
  <si>
    <t>USA</t>
  </si>
  <si>
    <t>Lebanon</t>
  </si>
  <si>
    <t>Lithuania</t>
  </si>
  <si>
    <t>European Community</t>
  </si>
  <si>
    <t>Brazil</t>
  </si>
  <si>
    <t>RSA</t>
  </si>
  <si>
    <t>Czech Republic</t>
  </si>
  <si>
    <t>Bahrain</t>
  </si>
  <si>
    <t>Saudi Arabia</t>
  </si>
  <si>
    <t>Country</t>
  </si>
  <si>
    <t>DOT</t>
  </si>
  <si>
    <t>DOTCOM POSTAGE</t>
  </si>
  <si>
    <t>REGENCY CAKESTAND 3 TIER</t>
  </si>
  <si>
    <t>PARTY BUNTING</t>
  </si>
  <si>
    <t>85123A</t>
  </si>
  <si>
    <t>WHITE HANGING HEART T-LIGHT HOLDER</t>
  </si>
  <si>
    <t>85099B</t>
  </si>
  <si>
    <t>JUMBO BAG RED RETROSPOT</t>
  </si>
  <si>
    <t>RABBIT NIGHT LIGHT</t>
  </si>
  <si>
    <t>POST</t>
  </si>
  <si>
    <t>POSTAGE</t>
  </si>
  <si>
    <t xml:space="preserve">PAPER CHAIN KIT 50'S CHRISTMAS </t>
  </si>
  <si>
    <t>ASSORTED COLOUR BIRD ORNAMENT</t>
  </si>
  <si>
    <t>CHILLI LIGHTS</t>
  </si>
  <si>
    <t>Stockcode</t>
  </si>
  <si>
    <t>Description</t>
  </si>
  <si>
    <t>Customer-ID</t>
  </si>
  <si>
    <t>Total_Unique_Invoices</t>
  </si>
  <si>
    <t>Cancelled_Unique_Invoices</t>
  </si>
  <si>
    <t>Cancelled_Invoice_Records</t>
  </si>
  <si>
    <t>Cancellation_Quantity</t>
  </si>
  <si>
    <t>Cancellation_Revenue_Adjustment</t>
  </si>
  <si>
    <t>Top_10_Customer_Revenue</t>
  </si>
  <si>
    <t>Identified_Customer_Revenue</t>
  </si>
  <si>
    <t>Top_10_Revenue_Share_Percent</t>
  </si>
  <si>
    <t>Row Labels</t>
  </si>
  <si>
    <t>Grand Total</t>
  </si>
  <si>
    <t>Sum of Transaction_Records</t>
  </si>
  <si>
    <t>Sum of Total_Revenue</t>
  </si>
  <si>
    <t>Sum of Total_Quantity</t>
  </si>
  <si>
    <t>Sum of Avg_Revenue_Per_Record</t>
  </si>
  <si>
    <t>Period</t>
  </si>
  <si>
    <t>Sum of Unique_Orders</t>
  </si>
  <si>
    <t>ONLINE RETAIL SALES DASHBOARD</t>
  </si>
  <si>
    <t>Sales, Product, Customer &amp; Market Performance Overview</t>
  </si>
  <si>
    <t>NET REVENUE</t>
  </si>
  <si>
    <t>UNIQUE ORDERS</t>
  </si>
  <si>
    <t>TOTAL QUANTITY</t>
  </si>
  <si>
    <t>CANCELLED ORDERS</t>
  </si>
  <si>
    <t>TOP 10 REVENUE SHARE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</si>
</sst>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 #,##0.00_-;_-* &quot;-&quot;??_-;_-@_-"/>
    <numFmt numFmtId="164" formatCode="[$$-409]#,##0.00_ ;[Red]\-[$$-409]#,##0.00\ "/>
    <numFmt numFmtId="165" formatCode="[$$-409]#,##0_ ;[Red]\-[$$-409]#,##0\ "/>
    <numFmt numFmtId="166" formatCode="_-* #,##0_-;\-* #,##0_-;_-* &quot;-&quot;??_-;_-@_-"/>
    <numFmt numFmtId="167" formatCode="0.0&quot;%&quot;"/>
    <numFmt numFmtId="168" formatCode="mmm\ yyyy"/>
  </numFmts>
  <fonts count="9" x14ac:knownFonts="1">
    <font>
      <sz val="11"/>
      <color theme="1"/>
      <name val="Calibri"/>
      <family val="2"/>
      <charset val="1"/>
      <scheme val="minor"/>
    </font>
    <font>
      <sz val="11"/>
      <color theme="1"/>
      <name val="Calibri"/>
      <family val="2"/>
      <charset val="1"/>
      <scheme val="minor"/>
    </font>
    <font>
      <sz val="11"/>
      <color theme="0"/>
      <name val="Calibri"/>
      <family val="2"/>
      <charset val="1"/>
      <scheme val="minor"/>
    </font>
    <font>
      <b/>
      <sz val="18"/>
      <color theme="1"/>
      <name val="Calibri"/>
      <family val="2"/>
      <scheme val="minor"/>
    </font>
    <font>
      <b/>
      <sz val="18"/>
      <color theme="4" tint="-0.499984740745262"/>
      <name val="Calibri"/>
      <family val="2"/>
      <scheme val="minor"/>
    </font>
    <font>
      <b/>
      <sz val="14"/>
      <color theme="2" tint="-0.749992370372631"/>
      <name val="Calibri"/>
      <family val="2"/>
      <scheme val="minor"/>
    </font>
    <font>
      <sz val="14"/>
      <color theme="2" tint="-0.749992370372631"/>
      <name val="Calibri"/>
      <family val="2"/>
      <scheme val="minor"/>
    </font>
    <font>
      <b/>
      <sz val="26"/>
      <color rgb="FF1F4E79"/>
      <name val="Calibri"/>
      <family val="2"/>
      <scheme val="minor"/>
    </font>
    <font>
      <sz val="26"/>
      <color rgb="FF1F4E79"/>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8">
    <xf numFmtId="0" fontId="0" fillId="0" borderId="0" xfId="0"/>
    <xf numFmtId="164" fontId="0" fillId="0" borderId="0" xfId="0" applyNumberFormat="1"/>
    <xf numFmtId="165" fontId="0" fillId="0" borderId="0" xfId="0" applyNumberFormat="1"/>
    <xf numFmtId="166" fontId="0" fillId="0" borderId="0" xfId="1" applyNumberFormat="1" applyFont="1"/>
    <xf numFmtId="1" fontId="0" fillId="0" borderId="0" xfId="0" applyNumberFormat="1"/>
    <xf numFmtId="0" fontId="0" fillId="0" borderId="0" xfId="0" applyNumberFormat="1" applyAlignment="1">
      <alignment horizontal="left"/>
    </xf>
    <xf numFmtId="164" fontId="2" fillId="0" borderId="0" xfId="0" applyNumberFormat="1" applyFont="1"/>
    <xf numFmtId="165" fontId="2" fillId="0" borderId="0" xfId="0" applyNumberFormat="1" applyFont="1"/>
    <xf numFmtId="0" fontId="0" fillId="0" borderId="0" xfId="1" applyNumberFormat="1" applyFont="1"/>
    <xf numFmtId="167" fontId="0" fillId="0" borderId="0" xfId="0" applyNumberFormat="1"/>
    <xf numFmtId="0" fontId="0" fillId="0" borderId="0" xfId="0" pivotButton="1"/>
    <xf numFmtId="0" fontId="0" fillId="0" borderId="0" xfId="0" applyAlignment="1">
      <alignment horizontal="left"/>
    </xf>
    <xf numFmtId="166" fontId="0" fillId="0" borderId="0" xfId="0" applyNumberFormat="1"/>
    <xf numFmtId="168" fontId="0" fillId="0" borderId="0" xfId="0" applyNumberFormat="1"/>
    <xf numFmtId="168" fontId="0" fillId="0" borderId="0" xfId="0" applyNumberFormat="1" applyAlignment="1">
      <alignment horizontal="left"/>
    </xf>
    <xf numFmtId="165" fontId="3" fillId="0" borderId="0" xfId="0" applyNumberFormat="1" applyFont="1" applyBorder="1" applyAlignment="1">
      <alignment horizontal="center" vertical="center"/>
    </xf>
    <xf numFmtId="3" fontId="3" fillId="0" borderId="0" xfId="1" applyNumberFormat="1" applyFont="1" applyBorder="1" applyAlignment="1">
      <alignment horizontal="center" vertical="center"/>
    </xf>
    <xf numFmtId="3" fontId="3" fillId="0" borderId="0" xfId="0" applyNumberFormat="1" applyFont="1" applyBorder="1" applyAlignment="1">
      <alignment horizontal="center" vertical="center"/>
    </xf>
    <xf numFmtId="167" fontId="3" fillId="0" borderId="0" xfId="0" applyNumberFormat="1" applyFont="1" applyBorder="1" applyAlignment="1">
      <alignment horizontal="center" vertical="center"/>
    </xf>
    <xf numFmtId="3" fontId="4"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167" fontId="4" fillId="2" borderId="1" xfId="0" applyNumberFormat="1" applyFont="1" applyFill="1" applyBorder="1" applyAlignment="1">
      <alignment horizontal="center" vertical="center"/>
    </xf>
    <xf numFmtId="0" fontId="7" fillId="0" borderId="0" xfId="0" applyFont="1" applyAlignment="1">
      <alignment horizontal="center"/>
    </xf>
    <xf numFmtId="0" fontId="8"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165" fontId="4" fillId="2" borderId="1" xfId="0" applyNumberFormat="1" applyFont="1" applyFill="1" applyBorder="1" applyAlignment="1">
      <alignment horizontal="center" vertical="center"/>
    </xf>
    <xf numFmtId="3" fontId="4" fillId="2" borderId="1" xfId="1" applyNumberFormat="1" applyFont="1" applyFill="1" applyBorder="1" applyAlignment="1">
      <alignment horizontal="center" vertical="center"/>
    </xf>
  </cellXfs>
  <cellStyles count="2">
    <cellStyle name="Comma" xfId="1" builtinId="3"/>
    <cellStyle name="Normal" xfId="0" builtinId="0"/>
  </cellStyles>
  <dxfs count="48">
    <dxf>
      <numFmt numFmtId="166" formatCode="_-* #,##0_-;\-* #,##0_-;_-* &quot;-&quot;??_-;_-@_-"/>
    </dxf>
    <dxf>
      <numFmt numFmtId="167" formatCode="0.0&quot;%&quot;"/>
    </dxf>
    <dxf>
      <numFmt numFmtId="165" formatCode="[$$-409]#,##0_ ;[Red]\-[$$-409]#,##0\ "/>
    </dxf>
    <dxf>
      <numFmt numFmtId="165" formatCode="[$$-409]#,##0_ ;[Red]\-[$$-409]#,##0\ "/>
    </dxf>
    <dxf>
      <numFmt numFmtId="165" formatCode="[$$-409]#,##0_ ;[Red]\-[$$-409]#,##0\ "/>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166" formatCode="_-* #,##0_-;\-* #,##0_-;_-* &quot;-&quot;??_-;_-@_-"/>
    </dxf>
    <dxf>
      <font>
        <b val="0"/>
        <i val="0"/>
        <strike val="0"/>
        <condense val="0"/>
        <extend val="0"/>
        <outline val="0"/>
        <shadow val="0"/>
        <u val="none"/>
        <vertAlign val="baseline"/>
        <sz val="11"/>
        <color theme="1"/>
        <name val="Calibri"/>
        <scheme val="minor"/>
      </font>
      <numFmt numFmtId="166" formatCode="_-* #,##0_-;\-* #,##0_-;_-* &quot;-&quot;??_-;_-@_-"/>
    </dxf>
    <dxf>
      <font>
        <b val="0"/>
        <i val="0"/>
        <strike val="0"/>
        <condense val="0"/>
        <extend val="0"/>
        <outline val="0"/>
        <shadow val="0"/>
        <u val="none"/>
        <vertAlign val="baseline"/>
        <sz val="11"/>
        <color theme="1"/>
        <name val="Calibri"/>
        <scheme val="minor"/>
      </font>
      <numFmt numFmtId="166" formatCode="_-* #,##0_-;\-* #,##0_-;_-*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6" formatCode="_-* #,##0_-;\-* #,##0_-;_-* &quot;-&quot;??_-;_-@_-"/>
    </dxf>
    <dxf>
      <numFmt numFmtId="165" formatCode="[$$-409]#,##0_ ;[Red]\-[$$-409]#,##0\ "/>
    </dxf>
    <dxf>
      <font>
        <b val="0"/>
        <i val="0"/>
        <strike val="0"/>
        <condense val="0"/>
        <extend val="0"/>
        <outline val="0"/>
        <shadow val="0"/>
        <u val="none"/>
        <vertAlign val="baseline"/>
        <sz val="11"/>
        <color theme="1"/>
        <name val="Calibri"/>
        <scheme val="minor"/>
      </font>
      <numFmt numFmtId="166" formatCode="_-* #,##0_-;\-* #,##0_-;_-* &quot;-&quot;??_-;_-@_-"/>
    </dxf>
    <dxf>
      <numFmt numFmtId="165" formatCode="[$$-409]#,##0_ ;[Red]\-[$$-409]#,##0\ "/>
    </dxf>
    <dxf>
      <numFmt numFmtId="166" formatCode="_-* #,##0_-;\-* #,##0_-;_-* &quot;-&quot;??_-;_-@_-"/>
    </dxf>
    <dxf>
      <numFmt numFmtId="166" formatCode="_-* #,##0_-;\-* #,##0_-;_-* &quot;-&quot;??_-;_-@_-"/>
    </dxf>
    <dxf>
      <numFmt numFmtId="165" formatCode="[$$-409]#,##0_ ;[Red]\-[$$-409]#,##0\ "/>
    </dxf>
    <dxf>
      <font>
        <b val="0"/>
        <i val="0"/>
        <strike val="0"/>
        <condense val="0"/>
        <extend val="0"/>
        <outline val="0"/>
        <shadow val="0"/>
        <u val="none"/>
        <vertAlign val="baseline"/>
        <sz val="11"/>
        <color theme="1"/>
        <name val="Calibri"/>
        <scheme val="minor"/>
      </font>
      <numFmt numFmtId="166" formatCode="_-* #,##0_-;\-* #,##0_-;_-* &quot;-&quot;??_-;_-@_-"/>
    </dxf>
    <dxf>
      <numFmt numFmtId="0" formatCode="General"/>
      <alignment horizontal="left" vertical="bottom" textRotation="0" wrapText="0" indent="0" justifyLastLine="0" shrinkToFit="0" readingOrder="0"/>
    </dxf>
    <dxf>
      <numFmt numFmtId="166" formatCode="_-* #,##0_-;\-* #,##0_-;_-* &quot;-&quot;??_-;_-@_-"/>
    </dxf>
    <dxf>
      <numFmt numFmtId="165" formatCode="[$$-409]#,##0_ ;[Red]\-[$$-409]#,##0\ "/>
    </dxf>
    <dxf>
      <numFmt numFmtId="165" formatCode="[$$-409]#,##0_ ;[Red]\-[$$-409]#,##0\ "/>
    </dxf>
    <dxf>
      <numFmt numFmtId="164" formatCode="[$$-409]#,##0.00_ ;[Red]\-[$$-409]#,##0.00\ "/>
    </dxf>
    <dxf>
      <font>
        <b val="0"/>
        <i val="0"/>
        <strike val="0"/>
        <condense val="0"/>
        <extend val="0"/>
        <outline val="0"/>
        <shadow val="0"/>
        <u val="none"/>
        <vertAlign val="baseline"/>
        <sz val="11"/>
        <color theme="1"/>
        <name val="Calibri"/>
        <scheme val="minor"/>
      </font>
      <numFmt numFmtId="166" formatCode="_-* #,##0_-;\-* #,##0_-;_-* &quot;-&quot;??_-;_-@_-"/>
    </dxf>
    <dxf>
      <font>
        <b val="0"/>
        <i val="0"/>
        <strike val="0"/>
        <condense val="0"/>
        <extend val="0"/>
        <outline val="0"/>
        <shadow val="0"/>
        <u val="none"/>
        <vertAlign val="baseline"/>
        <sz val="11"/>
        <color theme="1"/>
        <name val="Calibri"/>
        <scheme val="minor"/>
      </font>
      <numFmt numFmtId="166" formatCode="_-* #,##0_-;\-* #,##0_-;_-* &quot;-&quot;??_-;_-@_-"/>
    </dxf>
    <dxf>
      <font>
        <b val="0"/>
        <i val="0"/>
        <strike val="0"/>
        <condense val="0"/>
        <extend val="0"/>
        <outline val="0"/>
        <shadow val="0"/>
        <u val="none"/>
        <vertAlign val="baseline"/>
        <sz val="11"/>
        <color theme="1"/>
        <name val="Calibri"/>
        <scheme val="minor"/>
      </font>
      <numFmt numFmtId="166" formatCode="_-* #,##0_-;\-* #,##0_-;_-* &quot;-&quot;??_-;_-@_-"/>
    </dxf>
    <dxf>
      <numFmt numFmtId="165" formatCode="[$$-409]#,##0_ ;[Red]\-[$$-409]#,##0\ "/>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6" formatCode="_-* #,##0_-;\-* #,##0_-;_-* &quot;-&quot;??_-;_-@_-"/>
    </dxf>
    <dxf>
      <numFmt numFmtId="166" formatCode="_-* #,##0_-;\-* #,##0_-;_-* &quot;-&quot;??_-;_-@_-"/>
    </dxf>
    <dxf>
      <numFmt numFmtId="166" formatCode="_-* #,##0_-;\-* #,##0_-;_-* &quot;-&quot;??_-;_-@_-"/>
    </dxf>
    <dxf>
      <numFmt numFmtId="165" formatCode="[$$-409]#,##0_ ;[Red]\-[$$-409]#,##0\ "/>
    </dxf>
    <dxf>
      <numFmt numFmtId="164" formatCode="[$$-409]#,##0.00_ ;[Red]\-[$$-409]#,##0.00\ "/>
    </dxf>
    <dxf>
      <font>
        <b val="0"/>
        <i val="0"/>
        <strike val="0"/>
        <condense val="0"/>
        <extend val="0"/>
        <outline val="0"/>
        <shadow val="0"/>
        <u val="none"/>
        <vertAlign val="baseline"/>
        <sz val="11"/>
        <color theme="1"/>
        <name val="Calibri"/>
        <scheme val="minor"/>
      </font>
      <numFmt numFmtId="166" formatCode="_-* #,##0_-;\-* #,##0_-;_-* &quot;-&quot;??_-;_-@_-"/>
    </dxf>
    <dxf>
      <font>
        <b val="0"/>
        <i val="0"/>
        <strike val="0"/>
        <condense val="0"/>
        <extend val="0"/>
        <outline val="0"/>
        <shadow val="0"/>
        <u val="none"/>
        <vertAlign val="baseline"/>
        <sz val="11"/>
        <color theme="1"/>
        <name val="Calibri"/>
        <scheme val="minor"/>
      </font>
      <numFmt numFmtId="166" formatCode="_-* #,##0_-;\-* #,##0_-;_-* &quot;-&quot;??_-;_-@_-"/>
    </dxf>
    <dxf>
      <numFmt numFmtId="165" formatCode="[$$-409]#,##0_ ;[Red]\-[$$-409]#,##0\ "/>
    </dxf>
    <dxf>
      <numFmt numFmtId="19" formatCode="dd/mm/yyyy"/>
    </dxf>
    <dxf>
      <numFmt numFmtId="1" formatCode="0"/>
    </dxf>
    <dxf>
      <numFmt numFmtId="1" formatCode="0"/>
    </dxf>
    <dxf>
      <numFmt numFmtId="165" formatCode="[$$-409]#,##0_ ;[Red]\-[$$-409]#,##0\ "/>
    </dxf>
    <dxf>
      <numFmt numFmtId="166" formatCode="_-* #,##0_-;\-* #,##0_-;_-* &quot;-&quot;??_-;_-@_-"/>
    </dxf>
    <dxf>
      <numFmt numFmtId="166" formatCode="_-* #,##0_-;\-* #,##0_-;_-* &quot;-&quot;??_-;_-@_-"/>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right/>
        <top/>
        <bottom/>
        <vertical/>
        <horizontal/>
      </border>
    </dxf>
    <dxf>
      <font>
        <b/>
        <color theme="1"/>
      </font>
      <border>
        <bottom style="thin">
          <color theme="4"/>
        </bottom>
        <vertical/>
        <horizontal/>
      </border>
    </dxf>
    <dxf>
      <font>
        <color theme="1"/>
        <name val="Calibri"/>
        <scheme val="minor"/>
      </font>
      <border diagonalUp="0" diagonalDown="0">
        <left/>
        <right/>
        <top/>
        <bottom/>
        <vertical/>
        <horizontal/>
      </border>
    </dxf>
  </dxfs>
  <tableStyles count="3" defaultTableStyle="TableStyleMedium2" defaultPivotStyle="PivotStyleLight16">
    <tableStyle name="SlicerStyleLight1 2" pivot="0" table="0" count="10">
      <tableStyleElement type="wholeTable" dxfId="47"/>
      <tableStyleElement type="headerRow" dxfId="46"/>
    </tableStyle>
    <tableStyle name="SlicerStyleLight1 3" pivot="0" table="0" count="10">
      <tableStyleElement type="wholeTable" dxfId="45"/>
      <tableStyleElement type="headerRow" dxfId="44"/>
    </tableStyle>
    <tableStyle name="SlicerStyleLight1 4" pivot="0" table="0" count="10">
      <tableStyleElement type="wholeTable" dxfId="43"/>
      <tableStyleElement type="headerRow" dxfId="42"/>
    </tableStyle>
  </tableStyles>
  <colors>
    <mruColors>
      <color rgb="FF1F4E79"/>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Dashboard.xlsx]Monthly - Pivot Tables!MonthlyRevenue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Revenue Trend</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'Monthly - Pivot Tables'!$B$3</c:f>
              <c:strCache>
                <c:ptCount val="1"/>
                <c:pt idx="0">
                  <c:v>Total</c:v>
                </c:pt>
              </c:strCache>
            </c:strRef>
          </c:tx>
          <c:spPr>
            <a:ln w="28575" cap="rnd">
              <a:solidFill>
                <a:schemeClr val="accent1"/>
              </a:solidFill>
              <a:round/>
            </a:ln>
            <a:effectLst/>
          </c:spPr>
          <c:marker>
            <c:symbol val="none"/>
          </c:marker>
          <c:cat>
            <c:strRef>
              <c:f>'Monthly - Pivot Tables'!$A$4:$A$17</c:f>
              <c:strCache>
                <c:ptCount val="13"/>
                <c:pt idx="0">
                  <c:v>Dec 2010</c:v>
                </c:pt>
                <c:pt idx="1">
                  <c:v>Jan 2011</c:v>
                </c:pt>
                <c:pt idx="2">
                  <c:v>Feb 2011</c:v>
                </c:pt>
                <c:pt idx="3">
                  <c:v>Mar 2011</c:v>
                </c:pt>
                <c:pt idx="4">
                  <c:v>Apr 2011</c:v>
                </c:pt>
                <c:pt idx="5">
                  <c:v>May 2011</c:v>
                </c:pt>
                <c:pt idx="6">
                  <c:v>Jun 2011</c:v>
                </c:pt>
                <c:pt idx="7">
                  <c:v>Jul 2011</c:v>
                </c:pt>
                <c:pt idx="8">
                  <c:v>Aug 2011</c:v>
                </c:pt>
                <c:pt idx="9">
                  <c:v>Sep 2011</c:v>
                </c:pt>
                <c:pt idx="10">
                  <c:v>Oct 2011</c:v>
                </c:pt>
                <c:pt idx="11">
                  <c:v>Nov 2011</c:v>
                </c:pt>
                <c:pt idx="12">
                  <c:v>Dec 2011</c:v>
                </c:pt>
              </c:strCache>
            </c:strRef>
          </c:cat>
          <c:val>
            <c:numRef>
              <c:f>'Monthly - Pivot Tables'!$B$4:$B$17</c:f>
              <c:numCache>
                <c:formatCode>[$$-409]#,##0_ ;[Red]\-[$$-409]#,##0\ </c:formatCode>
                <c:ptCount val="13"/>
                <c:pt idx="0">
                  <c:v>748957.02</c:v>
                </c:pt>
                <c:pt idx="1">
                  <c:v>560000.26</c:v>
                </c:pt>
                <c:pt idx="2">
                  <c:v>498062.65</c:v>
                </c:pt>
                <c:pt idx="3">
                  <c:v>683267.08</c:v>
                </c:pt>
                <c:pt idx="4">
                  <c:v>493207.12099999998</c:v>
                </c:pt>
                <c:pt idx="5">
                  <c:v>723333.51</c:v>
                </c:pt>
                <c:pt idx="6">
                  <c:v>691123.12</c:v>
                </c:pt>
                <c:pt idx="7">
                  <c:v>681300.11100000003</c:v>
                </c:pt>
                <c:pt idx="8">
                  <c:v>682680.51</c:v>
                </c:pt>
                <c:pt idx="9">
                  <c:v>1019687.622</c:v>
                </c:pt>
                <c:pt idx="10">
                  <c:v>1070704.67</c:v>
                </c:pt>
                <c:pt idx="11">
                  <c:v>1461756.25</c:v>
                </c:pt>
                <c:pt idx="12">
                  <c:v>433668.01</c:v>
                </c:pt>
              </c:numCache>
            </c:numRef>
          </c:val>
          <c:smooth val="0"/>
        </c:ser>
        <c:dLbls>
          <c:showLegendKey val="0"/>
          <c:showVal val="0"/>
          <c:showCatName val="0"/>
          <c:showSerName val="0"/>
          <c:showPercent val="0"/>
          <c:showBubbleSize val="0"/>
        </c:dLbls>
        <c:smooth val="0"/>
        <c:axId val="252034208"/>
        <c:axId val="252034592"/>
      </c:lineChart>
      <c:catAx>
        <c:axId val="25203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2034592"/>
        <c:crosses val="autoZero"/>
        <c:auto val="1"/>
        <c:lblAlgn val="ctr"/>
        <c:lblOffset val="100"/>
        <c:noMultiLvlLbl val="0"/>
      </c:catAx>
      <c:valAx>
        <c:axId val="252034592"/>
        <c:scaling>
          <c:orientation val="minMax"/>
        </c:scaling>
        <c:delete val="0"/>
        <c:axPos val="l"/>
        <c:numFmt formatCode="[$$-409]#,##0_ ;[Red]\-[$$-409]#,##0\ "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2034208"/>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Dashboard.xlsx]Products - Pivot Tables!TotalQuantityPerProduct</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Products by Quantity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 - 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 Pivot Tables'!$A$4:$A$14</c:f>
              <c:strCache>
                <c:ptCount val="10"/>
                <c:pt idx="0">
                  <c:v>DOT</c:v>
                </c:pt>
                <c:pt idx="1">
                  <c:v>POST</c:v>
                </c:pt>
                <c:pt idx="2">
                  <c:v>79321</c:v>
                </c:pt>
                <c:pt idx="3">
                  <c:v>22423</c:v>
                </c:pt>
                <c:pt idx="4">
                  <c:v>47566</c:v>
                </c:pt>
                <c:pt idx="5">
                  <c:v>22086</c:v>
                </c:pt>
                <c:pt idx="6">
                  <c:v>23084</c:v>
                </c:pt>
                <c:pt idx="7">
                  <c:v>85123A</c:v>
                </c:pt>
                <c:pt idx="8">
                  <c:v>84879</c:v>
                </c:pt>
                <c:pt idx="9">
                  <c:v>85099B</c:v>
                </c:pt>
              </c:strCache>
            </c:strRef>
          </c:cat>
          <c:val>
            <c:numRef>
              <c:f>'Products - Pivot Tables'!$B$4:$B$14</c:f>
              <c:numCache>
                <c:formatCode>_-* #,##0_-;\-* #,##0_-;_-* "-"??_-;_-@_-</c:formatCode>
                <c:ptCount val="10"/>
                <c:pt idx="0">
                  <c:v>707</c:v>
                </c:pt>
                <c:pt idx="1">
                  <c:v>3003</c:v>
                </c:pt>
                <c:pt idx="2">
                  <c:v>10229</c:v>
                </c:pt>
                <c:pt idx="3">
                  <c:v>13033</c:v>
                </c:pt>
                <c:pt idx="4">
                  <c:v>18022</c:v>
                </c:pt>
                <c:pt idx="5">
                  <c:v>18902</c:v>
                </c:pt>
                <c:pt idx="6">
                  <c:v>30680</c:v>
                </c:pt>
                <c:pt idx="7">
                  <c:v>35025</c:v>
                </c:pt>
                <c:pt idx="8">
                  <c:v>36381</c:v>
                </c:pt>
                <c:pt idx="9">
                  <c:v>47363</c:v>
                </c:pt>
              </c:numCache>
            </c:numRef>
          </c:val>
        </c:ser>
        <c:dLbls>
          <c:dLblPos val="outEnd"/>
          <c:showLegendKey val="0"/>
          <c:showVal val="1"/>
          <c:showCatName val="0"/>
          <c:showSerName val="0"/>
          <c:showPercent val="0"/>
          <c:showBubbleSize val="0"/>
        </c:dLbls>
        <c:gapWidth val="182"/>
        <c:axId val="251630304"/>
        <c:axId val="251630688"/>
      </c:barChart>
      <c:catAx>
        <c:axId val="25163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1630688"/>
        <c:crosses val="autoZero"/>
        <c:auto val="1"/>
        <c:lblAlgn val="ctr"/>
        <c:lblOffset val="100"/>
        <c:noMultiLvlLbl val="0"/>
      </c:catAx>
      <c:valAx>
        <c:axId val="251630688"/>
        <c:scaling>
          <c:orientation val="minMax"/>
        </c:scaling>
        <c:delete val="1"/>
        <c:axPos val="b"/>
        <c:numFmt formatCode="_-* #,##0_-;\-* #,##0_-;_-* &quot;-&quot;??_-;_-@_-" sourceLinked="1"/>
        <c:majorTickMark val="none"/>
        <c:minorTickMark val="none"/>
        <c:tickLblPos val="nextTo"/>
        <c:crossAx val="251630304"/>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Dashboard.xlsx]Customer - Pivot Tables!CustomerRevenue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Customers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 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 Pivot Tables'!$A$4:$A$11</c:f>
              <c:strCache>
                <c:ptCount val="7"/>
                <c:pt idx="0">
                  <c:v>17511</c:v>
                </c:pt>
                <c:pt idx="1">
                  <c:v>14156</c:v>
                </c:pt>
                <c:pt idx="2">
                  <c:v>12415</c:v>
                </c:pt>
                <c:pt idx="3">
                  <c:v>14911</c:v>
                </c:pt>
                <c:pt idx="4">
                  <c:v>17450</c:v>
                </c:pt>
                <c:pt idx="5">
                  <c:v>18102</c:v>
                </c:pt>
                <c:pt idx="6">
                  <c:v>14646</c:v>
                </c:pt>
              </c:strCache>
            </c:strRef>
          </c:cat>
          <c:val>
            <c:numRef>
              <c:f>'Customer - Pivot Tables'!$B$4:$B$11</c:f>
              <c:numCache>
                <c:formatCode>[$$-409]#,##0_ ;[Red]\-[$$-409]#,##0\ </c:formatCode>
                <c:ptCount val="7"/>
                <c:pt idx="0">
                  <c:v>88125.38</c:v>
                </c:pt>
                <c:pt idx="1">
                  <c:v>113384.14</c:v>
                </c:pt>
                <c:pt idx="2">
                  <c:v>123725.45</c:v>
                </c:pt>
                <c:pt idx="3">
                  <c:v>132572.62</c:v>
                </c:pt>
                <c:pt idx="4">
                  <c:v>187482.16999999899</c:v>
                </c:pt>
                <c:pt idx="5">
                  <c:v>256438.49</c:v>
                </c:pt>
                <c:pt idx="6">
                  <c:v>279489.02</c:v>
                </c:pt>
              </c:numCache>
            </c:numRef>
          </c:val>
        </c:ser>
        <c:dLbls>
          <c:dLblPos val="outEnd"/>
          <c:showLegendKey val="0"/>
          <c:showVal val="1"/>
          <c:showCatName val="0"/>
          <c:showSerName val="0"/>
          <c:showPercent val="0"/>
          <c:showBubbleSize val="0"/>
        </c:dLbls>
        <c:gapWidth val="182"/>
        <c:axId val="252564592"/>
        <c:axId val="252614872"/>
      </c:barChart>
      <c:catAx>
        <c:axId val="25256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2614872"/>
        <c:crosses val="autoZero"/>
        <c:auto val="1"/>
        <c:lblAlgn val="ctr"/>
        <c:lblOffset val="100"/>
        <c:noMultiLvlLbl val="0"/>
      </c:catAx>
      <c:valAx>
        <c:axId val="252614872"/>
        <c:scaling>
          <c:orientation val="minMax"/>
        </c:scaling>
        <c:delete val="1"/>
        <c:axPos val="b"/>
        <c:numFmt formatCode="[$$-409]#,##0_ ;[Red]\-[$$-409]#,##0\ " sourceLinked="1"/>
        <c:majorTickMark val="none"/>
        <c:minorTickMark val="none"/>
        <c:tickLblPos val="nextTo"/>
        <c:crossAx val="252564592"/>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Dashboard.xlsx]Country - Pivot Tables!CountryRevenue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Countries by Revenue</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'Country - 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 - Pivot Tables'!$A$4:$A$11</c:f>
              <c:strCache>
                <c:ptCount val="7"/>
                <c:pt idx="0">
                  <c:v>United Kingdom</c:v>
                </c:pt>
                <c:pt idx="1">
                  <c:v>Netherlands</c:v>
                </c:pt>
                <c:pt idx="2">
                  <c:v>EIRE</c:v>
                </c:pt>
                <c:pt idx="3">
                  <c:v>Germany</c:v>
                </c:pt>
                <c:pt idx="4">
                  <c:v>France</c:v>
                </c:pt>
                <c:pt idx="5">
                  <c:v>Australia</c:v>
                </c:pt>
                <c:pt idx="6">
                  <c:v>Switzerland</c:v>
                </c:pt>
              </c:strCache>
            </c:strRef>
          </c:cat>
          <c:val>
            <c:numRef>
              <c:f>'Country - Pivot Tables'!$B$4:$B$11</c:f>
              <c:numCache>
                <c:formatCode>[$$-409]#,##0_ ;[Red]\-[$$-409]#,##0\ </c:formatCode>
                <c:ptCount val="7"/>
                <c:pt idx="0">
                  <c:v>8187806.3640000001</c:v>
                </c:pt>
                <c:pt idx="1">
                  <c:v>284661.53999999998</c:v>
                </c:pt>
                <c:pt idx="2">
                  <c:v>263276.82</c:v>
                </c:pt>
                <c:pt idx="3">
                  <c:v>221698.21</c:v>
                </c:pt>
                <c:pt idx="4">
                  <c:v>197403.9</c:v>
                </c:pt>
                <c:pt idx="5">
                  <c:v>137077.26999999999</c:v>
                </c:pt>
                <c:pt idx="6">
                  <c:v>56385.35</c:v>
                </c:pt>
              </c:numCache>
            </c:numRef>
          </c:val>
        </c:ser>
        <c:dLbls>
          <c:showLegendKey val="0"/>
          <c:showVal val="0"/>
          <c:showCatName val="0"/>
          <c:showSerName val="0"/>
          <c:showPercent val="0"/>
          <c:showBubbleSize val="0"/>
        </c:dLbls>
        <c:gapWidth val="182"/>
        <c:axId val="252642832"/>
        <c:axId val="214486568"/>
      </c:barChart>
      <c:catAx>
        <c:axId val="25264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4486568"/>
        <c:crosses val="autoZero"/>
        <c:auto val="1"/>
        <c:lblAlgn val="ctr"/>
        <c:lblOffset val="100"/>
        <c:noMultiLvlLbl val="0"/>
      </c:catAx>
      <c:valAx>
        <c:axId val="214486568"/>
        <c:scaling>
          <c:orientation val="minMax"/>
        </c:scaling>
        <c:delete val="1"/>
        <c:axPos val="l"/>
        <c:numFmt formatCode="[$$-409]#,##0_ ;[Red]\-[$$-409]#,##0\ " sourceLinked="1"/>
        <c:majorTickMark val="none"/>
        <c:minorTickMark val="none"/>
        <c:tickLblPos val="nextTo"/>
        <c:crossAx val="252642832"/>
        <c:crosses val="autoZero"/>
        <c:crossBetween val="between"/>
      </c:valAx>
      <c:spPr>
        <a:solidFill>
          <a:schemeClr val="accent1">
            <a:lumMod val="20000"/>
            <a:lumOff val="80000"/>
          </a:schemeClr>
        </a:solidFill>
        <a:ln>
          <a:noFill/>
        </a:ln>
        <a:effectLst/>
      </c:spPr>
    </c:plotArea>
    <c:plotVisOnly val="1"/>
    <c:dispBlanksAs val="gap"/>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Dashboard.xlsx]Products - Pivot Tables!RevenueByProduct</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Products by Revenue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'Products - 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'Products - Pivot Tables'!$D$4:$D$14</c:f>
              <c:strCache>
                <c:ptCount val="10"/>
                <c:pt idx="0">
                  <c:v>79321</c:v>
                </c:pt>
                <c:pt idx="1">
                  <c:v>84879</c:v>
                </c:pt>
                <c:pt idx="2">
                  <c:v>22086</c:v>
                </c:pt>
                <c:pt idx="3">
                  <c:v>POST</c:v>
                </c:pt>
                <c:pt idx="4">
                  <c:v>23084</c:v>
                </c:pt>
                <c:pt idx="5">
                  <c:v>85099B</c:v>
                </c:pt>
                <c:pt idx="6">
                  <c:v>85123A</c:v>
                </c:pt>
                <c:pt idx="7">
                  <c:v>47566</c:v>
                </c:pt>
                <c:pt idx="8">
                  <c:v>22423</c:v>
                </c:pt>
                <c:pt idx="9">
                  <c:v>DOT</c:v>
                </c:pt>
              </c:strCache>
            </c:strRef>
          </c:cat>
          <c:val>
            <c:numRef>
              <c:f>'Products - Pivot Tables'!$E$4:$E$14</c:f>
              <c:numCache>
                <c:formatCode>[$$-409]#,##0_ ;[Red]\-[$$-409]#,##0\ </c:formatCode>
                <c:ptCount val="10"/>
                <c:pt idx="0">
                  <c:v>53768.06</c:v>
                </c:pt>
                <c:pt idx="1">
                  <c:v>58959.729999999901</c:v>
                </c:pt>
                <c:pt idx="2">
                  <c:v>63791.94</c:v>
                </c:pt>
                <c:pt idx="3">
                  <c:v>66230.64</c:v>
                </c:pt>
                <c:pt idx="4">
                  <c:v>66756.59</c:v>
                </c:pt>
                <c:pt idx="5">
                  <c:v>92356.03</c:v>
                </c:pt>
                <c:pt idx="6">
                  <c:v>97715.99</c:v>
                </c:pt>
                <c:pt idx="7">
                  <c:v>98302.98</c:v>
                </c:pt>
                <c:pt idx="8">
                  <c:v>164762.19</c:v>
                </c:pt>
                <c:pt idx="9">
                  <c:v>206245.48</c:v>
                </c:pt>
              </c:numCache>
            </c:numRef>
          </c:val>
        </c:ser>
        <c:dLbls>
          <c:dLblPos val="outEnd"/>
          <c:showLegendKey val="0"/>
          <c:showVal val="1"/>
          <c:showCatName val="0"/>
          <c:showSerName val="0"/>
          <c:showPercent val="0"/>
          <c:showBubbleSize val="0"/>
        </c:dLbls>
        <c:gapWidth val="182"/>
        <c:axId val="214488920"/>
        <c:axId val="214485784"/>
      </c:barChart>
      <c:catAx>
        <c:axId val="214488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4485784"/>
        <c:crosses val="autoZero"/>
        <c:auto val="1"/>
        <c:lblAlgn val="ctr"/>
        <c:lblOffset val="100"/>
        <c:noMultiLvlLbl val="0"/>
      </c:catAx>
      <c:valAx>
        <c:axId val="214485784"/>
        <c:scaling>
          <c:orientation val="minMax"/>
        </c:scaling>
        <c:delete val="1"/>
        <c:axPos val="b"/>
        <c:numFmt formatCode="[$$-409]#,##0_ ;[Red]\-[$$-409]#,##0\ " sourceLinked="1"/>
        <c:majorTickMark val="none"/>
        <c:minorTickMark val="none"/>
        <c:tickLblPos val="nextTo"/>
        <c:crossAx val="214488920"/>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Retail Dashboard.xlsx]Country - Pivot Tables!CountryTxnRecords</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Countries by Transaction Records</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'Country - 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 - Pivot Tables'!$D$4:$D$11</c:f>
              <c:strCache>
                <c:ptCount val="7"/>
                <c:pt idx="0">
                  <c:v>United Kingdom</c:v>
                </c:pt>
                <c:pt idx="1">
                  <c:v>Germany</c:v>
                </c:pt>
                <c:pt idx="2">
                  <c:v>France</c:v>
                </c:pt>
                <c:pt idx="3">
                  <c:v>EIRE</c:v>
                </c:pt>
                <c:pt idx="4">
                  <c:v>Spain</c:v>
                </c:pt>
                <c:pt idx="5">
                  <c:v>Netherlands</c:v>
                </c:pt>
                <c:pt idx="6">
                  <c:v>Belgium</c:v>
                </c:pt>
              </c:strCache>
            </c:strRef>
          </c:cat>
          <c:val>
            <c:numRef>
              <c:f>'Country - Pivot Tables'!$E$4:$E$11</c:f>
              <c:numCache>
                <c:formatCode>_-* #,##0_-;\-* #,##0_-;_-* "-"??_-;_-@_-</c:formatCode>
                <c:ptCount val="7"/>
                <c:pt idx="0">
                  <c:v>495478</c:v>
                </c:pt>
                <c:pt idx="1">
                  <c:v>9495</c:v>
                </c:pt>
                <c:pt idx="2">
                  <c:v>8557</c:v>
                </c:pt>
                <c:pt idx="3">
                  <c:v>8196</c:v>
                </c:pt>
                <c:pt idx="4">
                  <c:v>2533</c:v>
                </c:pt>
                <c:pt idx="5">
                  <c:v>2371</c:v>
                </c:pt>
                <c:pt idx="6">
                  <c:v>2069</c:v>
                </c:pt>
              </c:numCache>
            </c:numRef>
          </c:val>
        </c:ser>
        <c:dLbls>
          <c:dLblPos val="outEnd"/>
          <c:showLegendKey val="0"/>
          <c:showVal val="1"/>
          <c:showCatName val="0"/>
          <c:showSerName val="0"/>
          <c:showPercent val="0"/>
          <c:showBubbleSize val="0"/>
        </c:dLbls>
        <c:gapWidth val="182"/>
        <c:axId val="253244640"/>
        <c:axId val="253248952"/>
      </c:barChart>
      <c:catAx>
        <c:axId val="25324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3248952"/>
        <c:crosses val="autoZero"/>
        <c:auto val="1"/>
        <c:lblAlgn val="ctr"/>
        <c:lblOffset val="100"/>
        <c:noMultiLvlLbl val="0"/>
      </c:catAx>
      <c:valAx>
        <c:axId val="253248952"/>
        <c:scaling>
          <c:orientation val="minMax"/>
        </c:scaling>
        <c:delete val="1"/>
        <c:axPos val="l"/>
        <c:numFmt formatCode="_-* #,##0_-;\-* #,##0_-;_-* &quot;-&quot;??_-;_-@_-" sourceLinked="1"/>
        <c:majorTickMark val="none"/>
        <c:minorTickMark val="none"/>
        <c:tickLblPos val="nextTo"/>
        <c:crossAx val="253244640"/>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15</xdr:row>
      <xdr:rowOff>1</xdr:rowOff>
    </xdr:from>
    <xdr:to>
      <xdr:col>26</xdr:col>
      <xdr:colOff>14967</xdr:colOff>
      <xdr:row>25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36</xdr:row>
      <xdr:rowOff>106958</xdr:rowOff>
    </xdr:from>
    <xdr:to>
      <xdr:col>8</xdr:col>
      <xdr:colOff>163800</xdr:colOff>
      <xdr:row>48</xdr:row>
      <xdr:rowOff>123117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173908</xdr:colOff>
      <xdr:row>36</xdr:row>
      <xdr:rowOff>107974</xdr:rowOff>
    </xdr:from>
    <xdr:to>
      <xdr:col>26</xdr:col>
      <xdr:colOff>12212</xdr:colOff>
      <xdr:row>48</xdr:row>
      <xdr:rowOff>124133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13237</xdr:rowOff>
    </xdr:from>
    <xdr:to>
      <xdr:col>8</xdr:col>
      <xdr:colOff>162255</xdr:colOff>
      <xdr:row>36</xdr:row>
      <xdr:rowOff>93909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168194</xdr:colOff>
      <xdr:row>25</xdr:row>
      <xdr:rowOff>13237</xdr:rowOff>
    </xdr:from>
    <xdr:to>
      <xdr:col>26</xdr:col>
      <xdr:colOff>15151</xdr:colOff>
      <xdr:row>36</xdr:row>
      <xdr:rowOff>93431</xdr:rowOff>
    </xdr:to>
    <xdr:grpSp>
      <xdr:nvGrpSpPr>
        <xdr:cNvPr id="13" name="Group 12"/>
        <xdr:cNvGrpSpPr/>
      </xdr:nvGrpSpPr>
      <xdr:grpSpPr>
        <a:xfrm>
          <a:off x="5932040" y="6119006"/>
          <a:ext cx="11826476" cy="2766733"/>
          <a:chOff x="5848558" y="6074601"/>
          <a:chExt cx="11692593" cy="2747194"/>
        </a:xfrm>
      </xdr:grpSpPr>
      <xdr:graphicFrame macro="">
        <xdr:nvGraphicFramePr>
          <xdr:cNvPr id="4" name="Chart 3"/>
          <xdr:cNvGraphicFramePr>
            <a:graphicFrameLocks/>
          </xdr:cNvGraphicFramePr>
        </xdr:nvGraphicFramePr>
        <xdr:xfrm>
          <a:off x="5848558" y="6074601"/>
          <a:ext cx="5843329" cy="274719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9" name="Chart 8"/>
          <xdr:cNvGraphicFramePr>
            <a:graphicFrameLocks/>
          </xdr:cNvGraphicFramePr>
        </xdr:nvGraphicFramePr>
        <xdr:xfrm>
          <a:off x="11697822" y="6074601"/>
          <a:ext cx="5843329" cy="274719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12</xdr:col>
      <xdr:colOff>395287</xdr:colOff>
      <xdr:row>9</xdr:row>
      <xdr:rowOff>98052</xdr:rowOff>
    </xdr:from>
    <xdr:to>
      <xdr:col>15</xdr:col>
      <xdr:colOff>80962</xdr:colOff>
      <xdr:row>14</xdr:row>
      <xdr:rowOff>14590</xdr:rowOff>
    </xdr:to>
    <mc:AlternateContent xmlns:mc="http://schemas.openxmlformats.org/markup-compatibility/2006" xmlns:a14="http://schemas.microsoft.com/office/drawing/2010/main">
      <mc:Choice Requires="a14">
        <xdr:graphicFrame macro="">
          <xdr:nvGraphicFramePr>
            <xdr:cNvPr id="10"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27541" y="2271362"/>
              <a:ext cx="1818738" cy="1123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112055</xdr:colOff>
      <xdr:row>9</xdr:row>
      <xdr:rowOff>98051</xdr:rowOff>
    </xdr:from>
    <xdr:to>
      <xdr:col>12</xdr:col>
      <xdr:colOff>280147</xdr:colOff>
      <xdr:row>14</xdr:row>
      <xdr:rowOff>80492</xdr:rowOff>
    </xdr:to>
    <mc:AlternateContent xmlns:mc="http://schemas.openxmlformats.org/markup-compatibility/2006" xmlns:a14="http://schemas.microsoft.com/office/drawing/2010/main">
      <mc:Choice Requires="a14">
        <xdr:graphicFrame macro="">
          <xdr:nvGraphicFramePr>
            <xdr:cNvPr id="12"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2055" y="2271361"/>
              <a:ext cx="8700346" cy="1189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196102</xdr:colOff>
      <xdr:row>9</xdr:row>
      <xdr:rowOff>98052</xdr:rowOff>
    </xdr:from>
    <xdr:to>
      <xdr:col>23</xdr:col>
      <xdr:colOff>112058</xdr:colOff>
      <xdr:row>14</xdr:row>
      <xdr:rowOff>67078</xdr:rowOff>
    </xdr:to>
    <mc:AlternateContent xmlns:mc="http://schemas.openxmlformats.org/markup-compatibility/2006" xmlns:a14="http://schemas.microsoft.com/office/drawing/2010/main">
      <mc:Choice Requires="a14">
        <xdr:graphicFrame macro="">
          <xdr:nvGraphicFramePr>
            <xdr:cNvPr id="11" name="Stockcode"/>
            <xdr:cNvGraphicFramePr/>
          </xdr:nvGraphicFramePr>
          <xdr:xfrm>
            <a:off x="0" y="0"/>
            <a:ext cx="0" cy="0"/>
          </xdr:xfrm>
          <a:graphic>
            <a:graphicData uri="http://schemas.microsoft.com/office/drawing/2010/slicer">
              <sle:slicer xmlns:sle="http://schemas.microsoft.com/office/drawing/2010/slicer" name="Stockcode"/>
            </a:graphicData>
          </a:graphic>
        </xdr:graphicFrame>
      </mc:Choice>
      <mc:Fallback xmlns="">
        <xdr:sp macro="" textlink="">
          <xdr:nvSpPr>
            <xdr:cNvPr id="0" name=""/>
            <xdr:cNvSpPr>
              <a:spLocks noTextEdit="1"/>
            </xdr:cNvSpPr>
          </xdr:nvSpPr>
          <xdr:spPr>
            <a:xfrm>
              <a:off x="10861419" y="2271362"/>
              <a:ext cx="4960181" cy="1176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662104</xdr:colOff>
      <xdr:row>0</xdr:row>
      <xdr:rowOff>11616</xdr:rowOff>
    </xdr:from>
    <xdr:to>
      <xdr:col>17</xdr:col>
      <xdr:colOff>34847</xdr:colOff>
      <xdr:row>2</xdr:row>
      <xdr:rowOff>11616</xdr:rowOff>
    </xdr:to>
    <xdr:sp macro="" textlink="">
      <xdr:nvSpPr>
        <xdr:cNvPr id="8" name="TextBox 7"/>
        <xdr:cNvSpPr txBox="1"/>
      </xdr:nvSpPr>
      <xdr:spPr>
        <a:xfrm>
          <a:off x="9304299" y="11616"/>
          <a:ext cx="2973658" cy="4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tx2">
                  <a:lumMod val="50000"/>
                </a:schemeClr>
              </a:solidFill>
            </a:rPr>
            <a:t>Prepared by :  </a:t>
          </a:r>
          <a:r>
            <a:rPr lang="en-US" sz="1400" b="1" i="1">
              <a:solidFill>
                <a:schemeClr val="tx2">
                  <a:lumMod val="50000"/>
                </a:schemeClr>
              </a:solidFill>
            </a:rPr>
            <a:t>Balogun Segun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SEGUN" refreshedDate="46287.393956134256" createdVersion="5" refreshedVersion="5" minRefreshableVersion="3" recordCount="13">
  <cacheSource type="worksheet">
    <worksheetSource name="Monthly_Performance"/>
  </cacheSource>
  <cacheFields count="8">
    <cacheField name="Year" numFmtId="0">
      <sharedItems containsSemiMixedTypes="0" containsString="0" containsNumber="1" containsInteger="1" minValue="2010" maxValue="2011" count="2">
        <n v="2010"/>
        <n v="2011"/>
      </sharedItems>
    </cacheField>
    <cacheField name="Month" numFmtId="1">
      <sharedItems containsSemiMixedTypes="0" containsString="0" containsNumber="1" containsInteger="1" minValue="1" maxValue="12"/>
    </cacheField>
    <cacheField name="Month_Name" numFmtId="1">
      <sharedItems count="12">
        <s v="Dec"/>
        <s v="Jan"/>
        <s v="Feb"/>
        <s v="Mar"/>
        <s v="Apr"/>
        <s v="May"/>
        <s v="Jun"/>
        <s v="Jul"/>
        <s v="Aug"/>
        <s v="Sep"/>
        <s v="Oct"/>
        <s v="Nov"/>
      </sharedItems>
    </cacheField>
    <cacheField name="Period" numFmtId="168">
      <sharedItems containsSemiMixedTypes="0" containsNonDate="0" containsDate="1" containsString="0" minDate="2010-12-01T00:00:00" maxDate="2011-12-02T00:00:00" count="13">
        <d v="2010-12-01T00:00:00"/>
        <d v="2011-01-01T00:00:00"/>
        <d v="2011-02-01T00:00:00"/>
        <d v="2011-03-01T00:00:00"/>
        <d v="2011-04-01T00:00:00"/>
        <d v="2011-05-01T00:00:00"/>
        <d v="2011-06-01T00:00:00"/>
        <d v="2011-07-01T00:00:00"/>
        <d v="2011-08-01T00:00:00"/>
        <d v="2011-09-01T00:00:00"/>
        <d v="2011-10-01T00:00:00"/>
        <d v="2011-11-01T00:00:00"/>
        <d v="2011-12-01T00:00:00"/>
      </sharedItems>
    </cacheField>
    <cacheField name="Total_Revenue" numFmtId="165">
      <sharedItems containsSemiMixedTypes="0" containsString="0" containsNumber="1" minValue="433668.01" maxValue="1461756.25"/>
    </cacheField>
    <cacheField name="Total_Quantity" numFmtId="166">
      <sharedItems containsSemiMixedTypes="0" containsString="0" containsNumber="1" containsInteger="1" minValue="226333" maxValue="740286"/>
    </cacheField>
    <cacheField name="Transaction_Records" numFmtId="166">
      <sharedItems containsSemiMixedTypes="0" containsString="0" containsNumber="1" containsInteger="1" minValue="25525" maxValue="84711"/>
    </cacheField>
    <cacheField name="Avg_Revenue_Per_Record" numFmtId="164">
      <sharedItems containsSemiMixedTypes="0" containsString="0" containsNumber="1" minValue="15.933088457051801" maxValue="20.301987456695699"/>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EGUN" refreshedDate="46287.40715752315" createdVersion="5" refreshedVersion="5" minRefreshableVersion="3" recordCount="38">
  <cacheSource type="worksheet">
    <worksheetSource name="Country_Performance"/>
  </cacheSource>
  <cacheFields count="6">
    <cacheField name="Country" numFmtId="0">
      <sharedItems count="38">
        <s v="United Kingdom"/>
        <s v="Netherlands"/>
        <s v="EIRE"/>
        <s v="Germany"/>
        <s v="France"/>
        <s v="Australia"/>
        <s v="Switzerland"/>
        <s v="Spain"/>
        <s v="Belgium"/>
        <s v="Sweden"/>
        <s v="Japan"/>
        <s v="Norway"/>
        <s v="Portugal"/>
        <s v="Finland"/>
        <s v="Channel Islands"/>
        <s v="Denmark"/>
        <s v="Italy"/>
        <s v="Cyprus"/>
        <s v="Austria"/>
        <s v="Hong Kong"/>
        <s v="Singapore"/>
        <s v="Israel"/>
        <s v="Poland"/>
        <s v="Unspecified"/>
        <s v="Greece"/>
        <s v="Iceland"/>
        <s v="Canada"/>
        <s v="Malta"/>
        <s v="United Arab Emirates"/>
        <s v="USA"/>
        <s v="Lebanon"/>
        <s v="Lithuania"/>
        <s v="European Community"/>
        <s v="Brazil"/>
        <s v="RSA"/>
        <s v="Czech Republic"/>
        <s v="Bahrain"/>
        <s v="Saudi Arabia"/>
      </sharedItems>
    </cacheField>
    <cacheField name="Total_Revenue" numFmtId="165">
      <sharedItems containsSemiMixedTypes="0" containsString="0" containsNumber="1" minValue="131.16999999999999" maxValue="8187806.3640000001"/>
    </cacheField>
    <cacheField name="Total_Quantity" numFmtId="166">
      <sharedItems containsSemiMixedTypes="0" containsString="0" containsNumber="1" containsInteger="1" minValue="75" maxValue="4263829"/>
    </cacheField>
    <cacheField name="Transaction_Records" numFmtId="166">
      <sharedItems containsSemiMixedTypes="0" containsString="0" containsNumber="1" containsInteger="1" minValue="10" maxValue="495478"/>
    </cacheField>
    <cacheField name="Unique_Orders" numFmtId="166">
      <sharedItems containsSemiMixedTypes="0" containsString="0" containsNumber="1" containsInteger="1" minValue="1" maxValue="23494"/>
    </cacheField>
    <cacheField name="Avg_Revenue_Per_Record" numFmtId="164">
      <sharedItems containsSemiMixedTypes="0" containsString="0" containsNumber="1" minValue="5.9481786941580701" maxValue="120.05969633066201"/>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SEGUN" refreshedDate="46287.417927662034" createdVersion="5" refreshedVersion="5" minRefreshableVersion="3" recordCount="10">
  <cacheSource type="worksheet">
    <worksheetSource name="Table3"/>
  </cacheSource>
  <cacheFields count="4">
    <cacheField name="Stockcode" numFmtId="0">
      <sharedItems containsMixedTypes="1" containsNumber="1" containsInteger="1" minValue="22086" maxValue="84879" count="10">
        <s v="DOT"/>
        <n v="22423"/>
        <n v="47566"/>
        <s v="85123A"/>
        <s v="85099B"/>
        <n v="23084"/>
        <s v="POST"/>
        <n v="22086"/>
        <n v="84879"/>
        <n v="79321"/>
      </sharedItems>
    </cacheField>
    <cacheField name="Description" numFmtId="0">
      <sharedItems count="10">
        <s v="DOTCOM POSTAGE"/>
        <s v="REGENCY CAKESTAND 3 TIER"/>
        <s v="PARTY BUNTING"/>
        <s v="WHITE HANGING HEART T-LIGHT HOLDER"/>
        <s v="JUMBO BAG RED RETROSPOT"/>
        <s v="RABBIT NIGHT LIGHT"/>
        <s v="POSTAGE"/>
        <s v="PAPER CHAIN KIT 50'S CHRISTMAS "/>
        <s v="ASSORTED COLOUR BIRD ORNAMENT"/>
        <s v="CHILLI LIGHTS"/>
      </sharedItems>
    </cacheField>
    <cacheField name="Total_Quantity" numFmtId="166">
      <sharedItems containsSemiMixedTypes="0" containsString="0" containsNumber="1" containsInteger="1" minValue="707" maxValue="47363"/>
    </cacheField>
    <cacheField name="Total_Revenue" numFmtId="165">
      <sharedItems containsSemiMixedTypes="0" containsString="0" containsNumber="1" minValue="53768.06" maxValue="206245.48"/>
    </cacheField>
  </cacheFields>
  <extLst>
    <ext xmlns:x14="http://schemas.microsoft.com/office/spreadsheetml/2009/9/main" uri="{725AE2AE-9491-48be-B2B4-4EB974FC3084}">
      <x14:pivotCacheDefinition pivotCacheId="4"/>
    </ext>
  </extLst>
</pivotCacheDefinition>
</file>

<file path=xl/pivotCache/pivotCacheDefinition4.xml><?xml version="1.0" encoding="utf-8"?>
<pivotCacheDefinition xmlns="http://schemas.openxmlformats.org/spreadsheetml/2006/main" xmlns:r="http://schemas.openxmlformats.org/officeDocument/2006/relationships" r:id="rId1" refreshedBy="SEGUN" refreshedDate="46287.434865625" createdVersion="5" refreshedVersion="5" minRefreshableVersion="3" recordCount="10">
  <cacheSource type="worksheet">
    <worksheetSource name="Table4"/>
  </cacheSource>
  <cacheFields count="4">
    <cacheField name="Customer-ID" numFmtId="0">
      <sharedItems containsSemiMixedTypes="0" containsString="0" containsNumber="1" containsInteger="1" minValue="12415" maxValue="18102" count="10">
        <n v="14646"/>
        <n v="18102"/>
        <n v="17450"/>
        <n v="14911"/>
        <n v="12415"/>
        <n v="14156"/>
        <n v="17511"/>
        <n v="16684"/>
        <n v="13694"/>
        <n v="15311"/>
      </sharedItems>
    </cacheField>
    <cacheField name="Unique_Orders" numFmtId="0">
      <sharedItems containsSemiMixedTypes="0" containsString="0" containsNumber="1" containsInteger="1" minValue="26" maxValue="248"/>
    </cacheField>
    <cacheField name="Total_Quantity" numFmtId="166">
      <sharedItems containsSemiMixedTypes="0" containsString="0" containsNumber="1" containsInteger="1" minValue="37720" maxValue="196719"/>
    </cacheField>
    <cacheField name="Total_Revenue" numFmtId="165">
      <sharedItems containsSemiMixedTypes="0" containsString="0" containsNumber="1" minValue="59419.34" maxValue="279489.02"/>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3">
  <r>
    <x v="0"/>
    <n v="12"/>
    <x v="0"/>
    <x v="0"/>
    <n v="748957.02"/>
    <n v="342228"/>
    <n v="42481"/>
    <n v="17.630399943504099"/>
  </r>
  <r>
    <x v="1"/>
    <n v="1"/>
    <x v="1"/>
    <x v="1"/>
    <n v="560000.26"/>
    <n v="308966"/>
    <n v="35147"/>
    <n v="15.933088457051801"/>
  </r>
  <r>
    <x v="1"/>
    <n v="2"/>
    <x v="2"/>
    <x v="2"/>
    <n v="498062.65"/>
    <n v="277989"/>
    <n v="27707"/>
    <n v="17.976058396795001"/>
  </r>
  <r>
    <x v="1"/>
    <n v="3"/>
    <x v="3"/>
    <x v="3"/>
    <n v="683267.08"/>
    <n v="351872"/>
    <n v="36748"/>
    <n v="18.593313377598701"/>
  </r>
  <r>
    <x v="1"/>
    <n v="4"/>
    <x v="4"/>
    <x v="4"/>
    <n v="493207.12099999998"/>
    <n v="289098"/>
    <n v="29916"/>
    <n v="16.486399284663701"/>
  </r>
  <r>
    <x v="1"/>
    <n v="5"/>
    <x v="5"/>
    <x v="5"/>
    <n v="723333.51"/>
    <n v="380391"/>
    <n v="37030"/>
    <n v="19.533716176073401"/>
  </r>
  <r>
    <x v="1"/>
    <n v="6"/>
    <x v="6"/>
    <x v="6"/>
    <n v="691123.12"/>
    <n v="341623"/>
    <n v="36874"/>
    <n v="18.742830178445502"/>
  </r>
  <r>
    <x v="1"/>
    <n v="7"/>
    <x v="7"/>
    <x v="7"/>
    <n v="681300.11100000003"/>
    <n v="391116"/>
    <n v="39518"/>
    <n v="17.240247760514102"/>
  </r>
  <r>
    <x v="1"/>
    <n v="8"/>
    <x v="8"/>
    <x v="8"/>
    <n v="682680.51"/>
    <n v="406199"/>
    <n v="35284"/>
    <n v="19.348160922797799"/>
  </r>
  <r>
    <x v="1"/>
    <n v="9"/>
    <x v="9"/>
    <x v="9"/>
    <n v="1019687.622"/>
    <n v="549817"/>
    <n v="50226"/>
    <n v="20.301987456695699"/>
  </r>
  <r>
    <x v="1"/>
    <n v="10"/>
    <x v="10"/>
    <x v="10"/>
    <n v="1070704.67"/>
    <n v="570532"/>
    <n v="60742"/>
    <n v="17.627089493266599"/>
  </r>
  <r>
    <x v="1"/>
    <n v="11"/>
    <x v="11"/>
    <x v="11"/>
    <n v="1461756.25"/>
    <n v="740286"/>
    <n v="84711"/>
    <n v="17.255802080013201"/>
  </r>
  <r>
    <x v="1"/>
    <n v="12"/>
    <x v="0"/>
    <x v="12"/>
    <n v="433668.01"/>
    <n v="226333"/>
    <n v="25525"/>
    <n v="16.989931831537699"/>
  </r>
</pivotCacheRecords>
</file>

<file path=xl/pivotCache/pivotCacheRecords2.xml><?xml version="1.0" encoding="utf-8"?>
<pivotCacheRecords xmlns="http://schemas.openxmlformats.org/spreadsheetml/2006/main" xmlns:r="http://schemas.openxmlformats.org/officeDocument/2006/relationships" count="38">
  <r>
    <x v="0"/>
    <n v="8187806.3640000001"/>
    <n v="4263829"/>
    <n v="495478"/>
    <n v="23494"/>
    <n v="16.525065419655299"/>
  </r>
  <r>
    <x v="1"/>
    <n v="284661.53999999998"/>
    <n v="200128"/>
    <n v="2371"/>
    <n v="101"/>
    <n v="120.05969633066201"/>
  </r>
  <r>
    <x v="2"/>
    <n v="263276.82"/>
    <n v="142637"/>
    <n v="8196"/>
    <n v="360"/>
    <n v="32.122598828696901"/>
  </r>
  <r>
    <x v="3"/>
    <n v="221698.21"/>
    <n v="117448"/>
    <n v="9495"/>
    <n v="603"/>
    <n v="23.348942601369099"/>
  </r>
  <r>
    <x v="4"/>
    <n v="197403.9"/>
    <n v="110480"/>
    <n v="8557"/>
    <n v="461"/>
    <n v="23.0692883019749"/>
  </r>
  <r>
    <x v="5"/>
    <n v="137077.26999999999"/>
    <n v="83653"/>
    <n v="1259"/>
    <n v="69"/>
    <n v="108.877895154884"/>
  </r>
  <r>
    <x v="6"/>
    <n v="56385.35"/>
    <n v="30325"/>
    <n v="2002"/>
    <n v="74"/>
    <n v="28.164510489510398"/>
  </r>
  <r>
    <x v="7"/>
    <n v="54774.58"/>
    <n v="26824"/>
    <n v="2533"/>
    <n v="105"/>
    <n v="21.6243900513225"/>
  </r>
  <r>
    <x v="8"/>
    <n v="40910.959999999999"/>
    <n v="23152"/>
    <n v="2069"/>
    <n v="119"/>
    <n v="19.773301111648099"/>
  </r>
  <r>
    <x v="9"/>
    <n v="36595.910000000003"/>
    <n v="35637"/>
    <n v="462"/>
    <n v="46"/>
    <n v="79.211926406926395"/>
  </r>
  <r>
    <x v="10"/>
    <n v="35340.620000000003"/>
    <n v="25218"/>
    <n v="358"/>
    <n v="28"/>
    <n v="98.716815642458101"/>
  </r>
  <r>
    <x v="11"/>
    <n v="35163.46"/>
    <n v="19247"/>
    <n v="1086"/>
    <n v="40"/>
    <n v="32.378876611418001"/>
  </r>
  <r>
    <x v="12"/>
    <n v="29367.02"/>
    <n v="16180"/>
    <n v="1519"/>
    <n v="71"/>
    <n v="19.333127057274499"/>
  </r>
  <r>
    <x v="13"/>
    <n v="22326.74"/>
    <n v="10666"/>
    <n v="695"/>
    <n v="48"/>
    <n v="32.124805755395599"/>
  </r>
  <r>
    <x v="14"/>
    <n v="20086.29"/>
    <n v="9479"/>
    <n v="758"/>
    <n v="33"/>
    <n v="26.499063324538199"/>
  </r>
  <r>
    <x v="15"/>
    <n v="18768.14"/>
    <n v="8188"/>
    <n v="389"/>
    <n v="21"/>
    <n v="48.247146529562897"/>
  </r>
  <r>
    <x v="16"/>
    <n v="16890.509999999998"/>
    <n v="7999"/>
    <n v="803"/>
    <n v="55"/>
    <n v="21.034259028642499"/>
  </r>
  <r>
    <x v="17"/>
    <n v="12946.29"/>
    <n v="6317"/>
    <n v="622"/>
    <n v="20"/>
    <n v="20.813971061093199"/>
  </r>
  <r>
    <x v="18"/>
    <n v="10154.32"/>
    <n v="4827"/>
    <n v="401"/>
    <n v="19"/>
    <n v="25.322493765586"/>
  </r>
  <r>
    <x v="19"/>
    <n v="10117.040000000001"/>
    <n v="4769"/>
    <n v="288"/>
    <n v="15"/>
    <n v="35.128611111111098"/>
  </r>
  <r>
    <x v="20"/>
    <n v="9120.39"/>
    <n v="5234"/>
    <n v="229"/>
    <n v="10"/>
    <n v="39.827030567685497"/>
  </r>
  <r>
    <x v="21"/>
    <n v="7907.82"/>
    <n v="4353"/>
    <n v="297"/>
    <n v="9"/>
    <n v="26.625656565656499"/>
  </r>
  <r>
    <x v="22"/>
    <n v="7213.14"/>
    <n v="3653"/>
    <n v="341"/>
    <n v="24"/>
    <n v="21.152903225806401"/>
  </r>
  <r>
    <x v="23"/>
    <n v="4749.79"/>
    <n v="3300"/>
    <n v="446"/>
    <n v="13"/>
    <n v="10.649753363228699"/>
  </r>
  <r>
    <x v="24"/>
    <n v="4710.5200000000004"/>
    <n v="1556"/>
    <n v="146"/>
    <n v="6"/>
    <n v="32.2638356164383"/>
  </r>
  <r>
    <x v="25"/>
    <n v="4310"/>
    <n v="2458"/>
    <n v="182"/>
    <n v="7"/>
    <n v="23.681318681318601"/>
  </r>
  <r>
    <x v="26"/>
    <n v="3666.38"/>
    <n v="2763"/>
    <n v="151"/>
    <n v="6"/>
    <n v="24.280662251655599"/>
  </r>
  <r>
    <x v="27"/>
    <n v="2505.4699999999998"/>
    <n v="944"/>
    <n v="127"/>
    <n v="10"/>
    <n v="19.728110236220399"/>
  </r>
  <r>
    <x v="28"/>
    <n v="1902.28"/>
    <n v="982"/>
    <n v="68"/>
    <n v="3"/>
    <n v="27.9747058823529"/>
  </r>
  <r>
    <x v="29"/>
    <n v="1730.92"/>
    <n v="1034"/>
    <n v="291"/>
    <n v="7"/>
    <n v="5.9481786941580701"/>
  </r>
  <r>
    <x v="30"/>
    <n v="1693.88"/>
    <n v="386"/>
    <n v="45"/>
    <n v="1"/>
    <n v="37.641777777777698"/>
  </r>
  <r>
    <x v="31"/>
    <n v="1661.06"/>
    <n v="652"/>
    <n v="35"/>
    <n v="4"/>
    <n v="47.458857142857099"/>
  </r>
  <r>
    <x v="32"/>
    <n v="1291.75"/>
    <n v="497"/>
    <n v="61"/>
    <n v="5"/>
    <n v="21.176229508196698"/>
  </r>
  <r>
    <x v="33"/>
    <n v="1143.5999999999999"/>
    <n v="356"/>
    <n v="32"/>
    <n v="1"/>
    <n v="35.737499999999997"/>
  </r>
  <r>
    <x v="34"/>
    <n v="1002.31"/>
    <n v="352"/>
    <n v="58"/>
    <n v="1"/>
    <n v="17.281206896551701"/>
  </r>
  <r>
    <x v="35"/>
    <n v="707.72"/>
    <n v="592"/>
    <n v="30"/>
    <n v="5"/>
    <n v="23.5906666666666"/>
  </r>
  <r>
    <x v="36"/>
    <n v="548.4"/>
    <n v="260"/>
    <n v="19"/>
    <n v="4"/>
    <n v="28.863157894736801"/>
  </r>
  <r>
    <x v="37"/>
    <n v="131.16999999999999"/>
    <n v="75"/>
    <n v="10"/>
    <n v="2"/>
    <n v="13.1169999999999"/>
  </r>
</pivotCacheRecords>
</file>

<file path=xl/pivotCache/pivotCacheRecords3.xml><?xml version="1.0" encoding="utf-8"?>
<pivotCacheRecords xmlns="http://schemas.openxmlformats.org/spreadsheetml/2006/main" xmlns:r="http://schemas.openxmlformats.org/officeDocument/2006/relationships" count="10">
  <r>
    <x v="0"/>
    <x v="0"/>
    <n v="707"/>
    <n v="206245.48"/>
  </r>
  <r>
    <x v="1"/>
    <x v="1"/>
    <n v="13033"/>
    <n v="164762.19"/>
  </r>
  <r>
    <x v="2"/>
    <x v="2"/>
    <n v="18022"/>
    <n v="98302.98"/>
  </r>
  <r>
    <x v="3"/>
    <x v="3"/>
    <n v="35025"/>
    <n v="97715.99"/>
  </r>
  <r>
    <x v="4"/>
    <x v="4"/>
    <n v="47363"/>
    <n v="92356.03"/>
  </r>
  <r>
    <x v="5"/>
    <x v="5"/>
    <n v="30680"/>
    <n v="66756.59"/>
  </r>
  <r>
    <x v="6"/>
    <x v="6"/>
    <n v="3003"/>
    <n v="66230.64"/>
  </r>
  <r>
    <x v="7"/>
    <x v="7"/>
    <n v="18902"/>
    <n v="63791.94"/>
  </r>
  <r>
    <x v="8"/>
    <x v="8"/>
    <n v="36381"/>
    <n v="58959.729999999901"/>
  </r>
  <r>
    <x v="9"/>
    <x v="9"/>
    <n v="10229"/>
    <n v="53768.06"/>
  </r>
</pivotCacheRecords>
</file>

<file path=xl/pivotCache/pivotCacheRecords4.xml><?xml version="1.0" encoding="utf-8"?>
<pivotCacheRecords xmlns="http://schemas.openxmlformats.org/spreadsheetml/2006/main" xmlns:r="http://schemas.openxmlformats.org/officeDocument/2006/relationships" count="10">
  <r>
    <x v="0"/>
    <n v="77"/>
    <n v="196719"/>
    <n v="279489.02"/>
  </r>
  <r>
    <x v="1"/>
    <n v="62"/>
    <n v="64122"/>
    <n v="256438.49"/>
  </r>
  <r>
    <x v="2"/>
    <n v="55"/>
    <n v="69029"/>
    <n v="187482.16999999899"/>
  </r>
  <r>
    <x v="3"/>
    <n v="248"/>
    <n v="77180"/>
    <n v="132572.62"/>
  </r>
  <r>
    <x v="4"/>
    <n v="26"/>
    <n v="77242"/>
    <n v="123725.45"/>
  </r>
  <r>
    <x v="5"/>
    <n v="66"/>
    <n v="57025"/>
    <n v="113384.14"/>
  </r>
  <r>
    <x v="6"/>
    <n v="46"/>
    <n v="63012"/>
    <n v="88125.38"/>
  </r>
  <r>
    <x v="7"/>
    <n v="31"/>
    <n v="49390"/>
    <n v="65892.08"/>
  </r>
  <r>
    <x v="8"/>
    <n v="60"/>
    <n v="61803"/>
    <n v="62653.1"/>
  </r>
  <r>
    <x v="9"/>
    <n v="118"/>
    <n v="37720"/>
    <n v="59419.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MonthlyRevenu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7" firstHeaderRow="1" firstDataRow="1" firstDataCol="1"/>
  <pivotFields count="8">
    <pivotField showAll="0">
      <items count="3">
        <item x="0"/>
        <item x="1"/>
        <item t="default"/>
      </items>
    </pivotField>
    <pivotField numFmtId="1" showAll="0"/>
    <pivotField showAll="0">
      <items count="13">
        <item x="1"/>
        <item x="2"/>
        <item x="3"/>
        <item x="4"/>
        <item x="5"/>
        <item x="6"/>
        <item x="7"/>
        <item x="8"/>
        <item x="9"/>
        <item x="10"/>
        <item x="11"/>
        <item x="0"/>
        <item t="default"/>
      </items>
    </pivotField>
    <pivotField axis="axisRow" numFmtId="168" showAll="0" defaultSubtotal="0">
      <items count="13">
        <item x="0"/>
        <item x="1"/>
        <item x="2"/>
        <item x="3"/>
        <item x="4"/>
        <item x="5"/>
        <item x="6"/>
        <item x="7"/>
        <item x="8"/>
        <item x="9"/>
        <item x="10"/>
        <item x="11"/>
        <item x="12"/>
      </items>
    </pivotField>
    <pivotField dataField="1" numFmtId="165" showAll="0"/>
    <pivotField numFmtId="166" showAll="0"/>
    <pivotField numFmtId="166" showAll="0"/>
    <pivotField numFmtId="164" showAll="0"/>
  </pivotFields>
  <rowFields count="1">
    <field x="3"/>
  </rowFields>
  <rowItems count="14">
    <i>
      <x/>
    </i>
    <i>
      <x v="1"/>
    </i>
    <i>
      <x v="2"/>
    </i>
    <i>
      <x v="3"/>
    </i>
    <i>
      <x v="4"/>
    </i>
    <i>
      <x v="5"/>
    </i>
    <i>
      <x v="6"/>
    </i>
    <i>
      <x v="7"/>
    </i>
    <i>
      <x v="8"/>
    </i>
    <i>
      <x v="9"/>
    </i>
    <i>
      <x v="10"/>
    </i>
    <i>
      <x v="11"/>
    </i>
    <i>
      <x v="12"/>
    </i>
    <i t="grand">
      <x/>
    </i>
  </rowItems>
  <colItems count="1">
    <i/>
  </colItems>
  <dataFields count="1">
    <dataField name="Sum of Total_Revenue" fld="4" baseField="0" baseItem="0" numFmtId="165"/>
  </dataFields>
  <formats count="1">
    <format dxfId="3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lyQuantitySold&amp;TxnRecord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F17" firstHeaderRow="0" firstDataRow="1" firstDataCol="1"/>
  <pivotFields count="8">
    <pivotField showAll="0">
      <items count="3">
        <item x="0"/>
        <item x="1"/>
        <item t="default"/>
      </items>
    </pivotField>
    <pivotField numFmtId="1" showAll="0"/>
    <pivotField showAll="0">
      <items count="13">
        <item x="1"/>
        <item x="2"/>
        <item x="3"/>
        <item x="4"/>
        <item x="5"/>
        <item x="6"/>
        <item x="7"/>
        <item x="8"/>
        <item x="9"/>
        <item x="10"/>
        <item x="11"/>
        <item x="0"/>
        <item t="default"/>
      </items>
    </pivotField>
    <pivotField axis="axisRow" numFmtId="168" showAll="0" defaultSubtotal="0">
      <items count="13">
        <item x="0"/>
        <item x="1"/>
        <item x="2"/>
        <item x="3"/>
        <item x="4"/>
        <item x="5"/>
        <item x="6"/>
        <item x="7"/>
        <item x="8"/>
        <item x="9"/>
        <item x="10"/>
        <item x="11"/>
        <item x="12"/>
      </items>
    </pivotField>
    <pivotField numFmtId="165" showAll="0"/>
    <pivotField dataField="1" numFmtId="166" showAll="0"/>
    <pivotField dataField="1" numFmtId="166" showAll="0"/>
    <pivotField numFmtId="164" showAll="0"/>
  </pivotFields>
  <rowFields count="1">
    <field x="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Total_Quantity" fld="5" baseField="0" baseItem="0" numFmtId="166"/>
    <dataField name="Sum of Transaction_Records" fld="6" baseField="0" baseItem="0" numFmtId="166"/>
  </dataFields>
  <formats count="2">
    <format dxfId="41">
      <pivotArea outline="0" collapsedLevelsAreSubtotals="1" fieldPosition="0">
        <references count="1">
          <reference field="4294967294" count="1" selected="0">
            <x v="0"/>
          </reference>
        </references>
      </pivotArea>
    </format>
    <format dxfId="4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ountryAvgRevenuePerRecord"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4:B22" firstHeaderRow="1" firstDataRow="1" firstDataCol="1"/>
  <pivotFields count="6">
    <pivotField axis="axisRow" showAll="0" measureFilter="1" sortType="descending">
      <items count="39">
        <item x="5"/>
        <item x="18"/>
        <item x="36"/>
        <item x="8"/>
        <item x="33"/>
        <item x="26"/>
        <item x="14"/>
        <item x="17"/>
        <item x="35"/>
        <item x="15"/>
        <item x="2"/>
        <item x="32"/>
        <item x="13"/>
        <item x="4"/>
        <item x="3"/>
        <item x="24"/>
        <item x="19"/>
        <item x="25"/>
        <item x="21"/>
        <item x="16"/>
        <item x="10"/>
        <item x="30"/>
        <item x="31"/>
        <item x="27"/>
        <item x="1"/>
        <item x="11"/>
        <item x="22"/>
        <item x="12"/>
        <item x="34"/>
        <item x="37"/>
        <item x="20"/>
        <item x="7"/>
        <item x="9"/>
        <item x="6"/>
        <item x="28"/>
        <item x="0"/>
        <item x="23"/>
        <item x="29"/>
        <item t="default"/>
      </items>
      <autoSortScope>
        <pivotArea dataOnly="0" outline="0" fieldPosition="0">
          <references count="1">
            <reference field="4294967294" count="1" selected="0">
              <x v="0"/>
            </reference>
          </references>
        </pivotArea>
      </autoSortScope>
    </pivotField>
    <pivotField numFmtId="165" showAll="0"/>
    <pivotField numFmtId="166" showAll="0"/>
    <pivotField numFmtId="166" showAll="0"/>
    <pivotField numFmtId="166" showAll="0"/>
    <pivotField dataField="1" numFmtId="164" showAll="0"/>
  </pivotFields>
  <rowFields count="1">
    <field x="0"/>
  </rowFields>
  <rowItems count="8">
    <i>
      <x v="24"/>
    </i>
    <i>
      <x/>
    </i>
    <i>
      <x v="20"/>
    </i>
    <i>
      <x v="32"/>
    </i>
    <i>
      <x v="9"/>
    </i>
    <i>
      <x v="22"/>
    </i>
    <i>
      <x v="30"/>
    </i>
    <i t="grand">
      <x/>
    </i>
  </rowItems>
  <colItems count="1">
    <i/>
  </colItems>
  <dataFields count="1">
    <dataField name="Sum of Avg_Revenue_Per_Record" fld="5" baseField="0" baseItem="0"/>
  </dataFields>
  <formats count="1">
    <format dxfId="29">
      <pivotArea outline="0" collapsedLevelsAreSubtotals="1" fieldPosition="0"/>
    </format>
  </formats>
  <pivotTableStyleInfo name="PivotStyleLight16" showRowHeaders="1" showColHeaders="1" showRowStripes="0" showColStripes="0" showLastColumn="1"/>
  <filters count="1">
    <filter fld="0" type="count" evalOrder="-1" id="5"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ountryQuantitySold"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3:H11" firstHeaderRow="1" firstDataRow="1" firstDataCol="1"/>
  <pivotFields count="6">
    <pivotField axis="axisRow" showAll="0" measureFilter="1" sortType="descending">
      <items count="39">
        <item x="5"/>
        <item x="18"/>
        <item x="36"/>
        <item x="8"/>
        <item x="33"/>
        <item x="26"/>
        <item x="14"/>
        <item x="17"/>
        <item x="35"/>
        <item x="15"/>
        <item x="2"/>
        <item x="32"/>
        <item x="13"/>
        <item x="4"/>
        <item x="3"/>
        <item x="24"/>
        <item x="19"/>
        <item x="25"/>
        <item x="21"/>
        <item x="16"/>
        <item x="10"/>
        <item x="30"/>
        <item x="31"/>
        <item x="27"/>
        <item x="1"/>
        <item x="11"/>
        <item x="22"/>
        <item x="12"/>
        <item x="34"/>
        <item x="37"/>
        <item x="20"/>
        <item x="7"/>
        <item x="9"/>
        <item x="6"/>
        <item x="28"/>
        <item x="0"/>
        <item x="23"/>
        <item x="29"/>
        <item t="default"/>
      </items>
      <autoSortScope>
        <pivotArea dataOnly="0" outline="0" fieldPosition="0">
          <references count="1">
            <reference field="4294967294" count="1" selected="0">
              <x v="0"/>
            </reference>
          </references>
        </pivotArea>
      </autoSortScope>
    </pivotField>
    <pivotField numFmtId="165" showAll="0"/>
    <pivotField dataField="1" numFmtId="166" showAll="0"/>
    <pivotField numFmtId="166" showAll="0"/>
    <pivotField numFmtId="166" showAll="0"/>
    <pivotField numFmtId="164" showAll="0"/>
  </pivotFields>
  <rowFields count="1">
    <field x="0"/>
  </rowFields>
  <rowItems count="8">
    <i>
      <x v="35"/>
    </i>
    <i>
      <x v="24"/>
    </i>
    <i>
      <x v="10"/>
    </i>
    <i>
      <x v="14"/>
    </i>
    <i>
      <x v="13"/>
    </i>
    <i>
      <x/>
    </i>
    <i>
      <x v="32"/>
    </i>
    <i t="grand">
      <x/>
    </i>
  </rowItems>
  <colItems count="1">
    <i/>
  </colItems>
  <dataFields count="1">
    <dataField name="Sum of Total_Quantity" fld="2" baseField="0" baseItem="0"/>
  </dataFields>
  <formats count="1">
    <format dxfId="30">
      <pivotArea outline="0" collapsedLevelsAreSubtotals="1" fieldPosition="0"/>
    </format>
  </formats>
  <pivotTableStyleInfo name="PivotStyleLight16" showRowHeaders="1" showColHeaders="1" showRowStripes="0" showColStripes="0" showLastColumn="1"/>
  <filters count="1">
    <filter fld="0"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CountryTxnRecords"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D3:E11" firstHeaderRow="1" firstDataRow="1" firstDataCol="1"/>
  <pivotFields count="6">
    <pivotField axis="axisRow" showAll="0" measureFilter="1" sortType="descending">
      <items count="39">
        <item x="5"/>
        <item x="18"/>
        <item x="36"/>
        <item x="8"/>
        <item x="33"/>
        <item x="26"/>
        <item x="14"/>
        <item x="17"/>
        <item x="35"/>
        <item x="15"/>
        <item x="2"/>
        <item x="32"/>
        <item x="13"/>
        <item x="4"/>
        <item x="3"/>
        <item x="24"/>
        <item x="19"/>
        <item x="25"/>
        <item x="21"/>
        <item x="16"/>
        <item x="10"/>
        <item x="30"/>
        <item x="31"/>
        <item x="27"/>
        <item x="1"/>
        <item x="11"/>
        <item x="22"/>
        <item x="12"/>
        <item x="34"/>
        <item x="37"/>
        <item x="20"/>
        <item x="7"/>
        <item x="9"/>
        <item x="6"/>
        <item x="28"/>
        <item x="0"/>
        <item x="23"/>
        <item x="29"/>
        <item t="default"/>
      </items>
      <autoSortScope>
        <pivotArea dataOnly="0" outline="0" fieldPosition="0">
          <references count="1">
            <reference field="4294967294" count="1" selected="0">
              <x v="0"/>
            </reference>
          </references>
        </pivotArea>
      </autoSortScope>
    </pivotField>
    <pivotField numFmtId="165" showAll="0"/>
    <pivotField numFmtId="166" showAll="0"/>
    <pivotField dataField="1" numFmtId="166" showAll="0"/>
    <pivotField numFmtId="166" showAll="0"/>
    <pivotField numFmtId="164" showAll="0"/>
  </pivotFields>
  <rowFields count="1">
    <field x="0"/>
  </rowFields>
  <rowItems count="8">
    <i>
      <x v="35"/>
    </i>
    <i>
      <x v="14"/>
    </i>
    <i>
      <x v="13"/>
    </i>
    <i>
      <x v="10"/>
    </i>
    <i>
      <x v="31"/>
    </i>
    <i>
      <x v="24"/>
    </i>
    <i>
      <x v="3"/>
    </i>
    <i t="grand">
      <x/>
    </i>
  </rowItems>
  <colItems count="1">
    <i/>
  </colItems>
  <dataFields count="1">
    <dataField name="Sum of Transaction_Records" fld="3" baseField="0" baseItem="0" numFmtId="166"/>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CountryRevenue"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11" firstHeaderRow="1" firstDataRow="1" firstDataCol="1"/>
  <pivotFields count="6">
    <pivotField axis="axisRow" showAll="0" measureFilter="1" sortType="descending">
      <items count="39">
        <item x="5"/>
        <item x="18"/>
        <item x="36"/>
        <item x="8"/>
        <item x="33"/>
        <item x="26"/>
        <item x="14"/>
        <item x="17"/>
        <item x="35"/>
        <item x="15"/>
        <item x="2"/>
        <item x="32"/>
        <item x="13"/>
        <item x="4"/>
        <item x="3"/>
        <item x="24"/>
        <item x="19"/>
        <item x="25"/>
        <item x="21"/>
        <item x="16"/>
        <item x="10"/>
        <item x="30"/>
        <item x="31"/>
        <item x="27"/>
        <item x="1"/>
        <item x="11"/>
        <item x="22"/>
        <item x="12"/>
        <item x="34"/>
        <item x="37"/>
        <item x="20"/>
        <item x="7"/>
        <item x="9"/>
        <item x="6"/>
        <item x="28"/>
        <item x="0"/>
        <item x="23"/>
        <item x="29"/>
        <item t="default"/>
      </items>
      <autoSortScope>
        <pivotArea dataOnly="0" outline="0" fieldPosition="0">
          <references count="1">
            <reference field="4294967294" count="1" selected="0">
              <x v="0"/>
            </reference>
          </references>
        </pivotArea>
      </autoSortScope>
    </pivotField>
    <pivotField dataField="1" numFmtId="165" showAll="0"/>
    <pivotField numFmtId="166" showAll="0"/>
    <pivotField numFmtId="166" showAll="0"/>
    <pivotField numFmtId="166" showAll="0"/>
    <pivotField numFmtId="164" showAll="0"/>
  </pivotFields>
  <rowFields count="1">
    <field x="0"/>
  </rowFields>
  <rowItems count="8">
    <i>
      <x v="35"/>
    </i>
    <i>
      <x v="24"/>
    </i>
    <i>
      <x v="10"/>
    </i>
    <i>
      <x v="14"/>
    </i>
    <i>
      <x v="13"/>
    </i>
    <i>
      <x/>
    </i>
    <i>
      <x v="33"/>
    </i>
    <i t="grand">
      <x/>
    </i>
  </rowItems>
  <colItems count="1">
    <i/>
  </colItems>
  <dataFields count="1">
    <dataField name="Sum of Total_Revenue" fld="1" baseField="0" baseItem="0" numFmtId="165"/>
  </dataFields>
  <formats count="1">
    <format dxfId="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QuantityPerProduct"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4" firstHeaderRow="1" firstDataRow="1" firstDataCol="1"/>
  <pivotFields count="4">
    <pivotField axis="axisRow" showAll="0" sortType="ascending">
      <items count="11">
        <item x="7"/>
        <item x="1"/>
        <item x="5"/>
        <item x="2"/>
        <item x="9"/>
        <item x="8"/>
        <item x="4"/>
        <item x="3"/>
        <item x="0"/>
        <item x="6"/>
        <item t="default"/>
      </items>
      <autoSortScope>
        <pivotArea dataOnly="0" outline="0" fieldPosition="0">
          <references count="1">
            <reference field="4294967294" count="1" selected="0">
              <x v="0"/>
            </reference>
          </references>
        </pivotArea>
      </autoSortScope>
    </pivotField>
    <pivotField showAll="0">
      <items count="11">
        <item x="8"/>
        <item x="9"/>
        <item x="0"/>
        <item x="4"/>
        <item x="7"/>
        <item x="2"/>
        <item x="6"/>
        <item x="5"/>
        <item x="1"/>
        <item x="3"/>
        <item t="default"/>
      </items>
    </pivotField>
    <pivotField dataField="1" numFmtId="166" showAll="0"/>
    <pivotField numFmtId="165" showAll="0"/>
  </pivotFields>
  <rowFields count="1">
    <field x="0"/>
  </rowFields>
  <rowItems count="11">
    <i>
      <x v="8"/>
    </i>
    <i>
      <x v="9"/>
    </i>
    <i>
      <x v="4"/>
    </i>
    <i>
      <x v="1"/>
    </i>
    <i>
      <x v="3"/>
    </i>
    <i>
      <x/>
    </i>
    <i>
      <x v="2"/>
    </i>
    <i>
      <x v="7"/>
    </i>
    <i>
      <x v="5"/>
    </i>
    <i>
      <x v="6"/>
    </i>
    <i t="grand">
      <x/>
    </i>
  </rowItems>
  <colItems count="1">
    <i/>
  </colItems>
  <dataFields count="1">
    <dataField name="Sum of Total_Quantity" fld="2" baseField="0" baseItem="0" numFmtId="166"/>
  </dataFields>
  <formats count="1">
    <format dxfId="1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RevenueByProduct"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D3:E14" firstHeaderRow="1" firstDataRow="1" firstDataCol="1"/>
  <pivotFields count="4">
    <pivotField axis="axisRow" showAll="0" sortType="ascending">
      <items count="11">
        <item x="7"/>
        <item x="1"/>
        <item x="5"/>
        <item x="2"/>
        <item x="9"/>
        <item x="8"/>
        <item x="4"/>
        <item x="3"/>
        <item x="0"/>
        <item x="6"/>
        <item t="default"/>
      </items>
      <autoSortScope>
        <pivotArea dataOnly="0" outline="0" fieldPosition="0">
          <references count="1">
            <reference field="4294967294" count="1" selected="0">
              <x v="0"/>
            </reference>
          </references>
        </pivotArea>
      </autoSortScope>
    </pivotField>
    <pivotField showAll="0">
      <items count="11">
        <item x="8"/>
        <item x="9"/>
        <item x="0"/>
        <item x="4"/>
        <item x="7"/>
        <item x="2"/>
        <item x="6"/>
        <item x="5"/>
        <item x="1"/>
        <item x="3"/>
        <item t="default"/>
      </items>
    </pivotField>
    <pivotField numFmtId="166" showAll="0"/>
    <pivotField dataField="1" numFmtId="165" showAll="0"/>
  </pivotFields>
  <rowFields count="1">
    <field x="0"/>
  </rowFields>
  <rowItems count="11">
    <i>
      <x v="4"/>
    </i>
    <i>
      <x v="5"/>
    </i>
    <i>
      <x/>
    </i>
    <i>
      <x v="9"/>
    </i>
    <i>
      <x v="2"/>
    </i>
    <i>
      <x v="6"/>
    </i>
    <i>
      <x v="7"/>
    </i>
    <i>
      <x v="3"/>
    </i>
    <i>
      <x v="1"/>
    </i>
    <i>
      <x v="8"/>
    </i>
    <i t="grand">
      <x/>
    </i>
  </rowItems>
  <colItems count="1">
    <i/>
  </colItems>
  <dataFields count="1">
    <dataField name="Sum of Total_Revenue" fld="3" baseField="0" baseItem="0" numFmtId="165"/>
  </dataFields>
  <formats count="2">
    <format dxfId="21">
      <pivotArea collapsedLevelsAreSubtotals="1" fieldPosition="0">
        <references count="1">
          <reference field="0" count="1">
            <x v="2"/>
          </reference>
        </references>
      </pivotArea>
    </format>
    <format dxfId="2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CustomerRevenue"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1" firstHeaderRow="1" firstDataRow="1" firstDataCol="1"/>
  <pivotFields count="4">
    <pivotField axis="axisRow" showAll="0" measureFilter="1" sortType="ascending">
      <items count="11">
        <item x="4"/>
        <item x="8"/>
        <item x="5"/>
        <item x="0"/>
        <item x="3"/>
        <item x="9"/>
        <item x="7"/>
        <item x="2"/>
        <item x="6"/>
        <item x="1"/>
        <item t="default"/>
      </items>
      <autoSortScope>
        <pivotArea dataOnly="0" outline="0" fieldPosition="0">
          <references count="1">
            <reference field="4294967294" count="1" selected="0">
              <x v="0"/>
            </reference>
          </references>
        </pivotArea>
      </autoSortScope>
    </pivotField>
    <pivotField showAll="0"/>
    <pivotField numFmtId="166" showAll="0"/>
    <pivotField dataField="1" numFmtId="165" showAll="0"/>
  </pivotFields>
  <rowFields count="1">
    <field x="0"/>
  </rowFields>
  <rowItems count="8">
    <i>
      <x v="8"/>
    </i>
    <i>
      <x v="2"/>
    </i>
    <i>
      <x/>
    </i>
    <i>
      <x v="4"/>
    </i>
    <i>
      <x v="7"/>
    </i>
    <i>
      <x v="9"/>
    </i>
    <i>
      <x v="3"/>
    </i>
    <i t="grand">
      <x/>
    </i>
  </rowItems>
  <colItems count="1">
    <i/>
  </colItems>
  <dataFields count="1">
    <dataField name="Sum of Total_Revenue" fld="3" baseField="0" baseItem="0" numFmtId="165"/>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CustomerUniqueOrders"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3:H14" firstHeaderRow="1" firstDataRow="1" firstDataCol="1"/>
  <pivotFields count="4">
    <pivotField axis="axisRow" showAll="0" sortType="descending">
      <items count="11">
        <item x="4"/>
        <item x="8"/>
        <item x="5"/>
        <item x="0"/>
        <item x="3"/>
        <item x="9"/>
        <item x="7"/>
        <item x="2"/>
        <item x="6"/>
        <item x="1"/>
        <item t="default"/>
      </items>
      <autoSortScope>
        <pivotArea dataOnly="0" outline="0" fieldPosition="0">
          <references count="1">
            <reference field="4294967294" count="1" selected="0">
              <x v="0"/>
            </reference>
          </references>
        </pivotArea>
      </autoSortScope>
    </pivotField>
    <pivotField dataField="1" showAll="0"/>
    <pivotField numFmtId="166" showAll="0"/>
    <pivotField numFmtId="165" showAll="0"/>
  </pivotFields>
  <rowFields count="1">
    <field x="0"/>
  </rowFields>
  <rowItems count="11">
    <i>
      <x v="4"/>
    </i>
    <i>
      <x v="5"/>
    </i>
    <i>
      <x v="3"/>
    </i>
    <i>
      <x v="2"/>
    </i>
    <i>
      <x v="9"/>
    </i>
    <i>
      <x v="1"/>
    </i>
    <i>
      <x v="7"/>
    </i>
    <i>
      <x v="8"/>
    </i>
    <i>
      <x v="6"/>
    </i>
    <i>
      <x/>
    </i>
    <i t="grand">
      <x/>
    </i>
  </rowItems>
  <colItems count="1">
    <i/>
  </colItems>
  <dataFields count="1">
    <dataField name="Sum of Unique_Orders" fld="1"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CustomerQuantity"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14" firstHeaderRow="1" firstDataRow="1" firstDataCol="1"/>
  <pivotFields count="4">
    <pivotField axis="axisRow" showAll="0" sortType="descending">
      <items count="11">
        <item x="4"/>
        <item x="8"/>
        <item x="5"/>
        <item x="0"/>
        <item x="3"/>
        <item x="9"/>
        <item x="7"/>
        <item x="2"/>
        <item x="6"/>
        <item x="1"/>
        <item t="default"/>
      </items>
      <autoSortScope>
        <pivotArea dataOnly="0" outline="0" fieldPosition="0">
          <references count="1">
            <reference field="4294967294" count="1" selected="0">
              <x v="0"/>
            </reference>
          </references>
        </pivotArea>
      </autoSortScope>
    </pivotField>
    <pivotField showAll="0"/>
    <pivotField dataField="1" numFmtId="166" showAll="0"/>
    <pivotField numFmtId="165" showAll="0"/>
  </pivotFields>
  <rowFields count="1">
    <field x="0"/>
  </rowFields>
  <rowItems count="11">
    <i>
      <x v="3"/>
    </i>
    <i>
      <x/>
    </i>
    <i>
      <x v="4"/>
    </i>
    <i>
      <x v="7"/>
    </i>
    <i>
      <x v="9"/>
    </i>
    <i>
      <x v="8"/>
    </i>
    <i>
      <x v="1"/>
    </i>
    <i>
      <x v="2"/>
    </i>
    <i>
      <x v="6"/>
    </i>
    <i>
      <x v="5"/>
    </i>
    <i t="grand">
      <x/>
    </i>
  </rowItems>
  <colItems count="1">
    <i/>
  </colItems>
  <dataFields count="1">
    <dataField name="Sum of Total_Quantity" fld="2" baseField="0" baseItem="0" numFmtId="166"/>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8" name="MonthlyRevenue"/>
    <pivotTable tabId="8" name="MonthlyQuantitySold&amp;TxnRecords"/>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9" name="CountryRevenue"/>
    <pivotTable tabId="9" name="CountryQuantitySold"/>
    <pivotTable tabId="9" name="CountryTxnRecords"/>
  </pivotTables>
  <data>
    <tabular pivotCacheId="2">
      <items count="38">
        <i x="5" s="1"/>
        <i x="18" s="1"/>
        <i x="36" s="1"/>
        <i x="8" s="1"/>
        <i x="33" s="1"/>
        <i x="26" s="1"/>
        <i x="14" s="1"/>
        <i x="17" s="1"/>
        <i x="35" s="1"/>
        <i x="15" s="1"/>
        <i x="2" s="1"/>
        <i x="32" s="1"/>
        <i x="13" s="1"/>
        <i x="4" s="1"/>
        <i x="3" s="1"/>
        <i x="24" s="1"/>
        <i x="19" s="1"/>
        <i x="25" s="1"/>
        <i x="21" s="1"/>
        <i x="16" s="1"/>
        <i x="10" s="1"/>
        <i x="30" s="1"/>
        <i x="31" s="1"/>
        <i x="27" s="1"/>
        <i x="1" s="1"/>
        <i x="11" s="1"/>
        <i x="22" s="1"/>
        <i x="12" s="1"/>
        <i x="34" s="1"/>
        <i x="37" s="1"/>
        <i x="20" s="1"/>
        <i x="7" s="1"/>
        <i x="9" s="1"/>
        <i x="6" s="1"/>
        <i x="28" s="1"/>
        <i x="0" s="1"/>
        <i x="23" s="1"/>
        <i x="2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ockcode" sourceName="Stockcode">
  <pivotTables>
    <pivotTable tabId="11" name="RevenueByProduct"/>
    <pivotTable tabId="11" name="TotalQuantityPerProduct"/>
  </pivotTables>
  <data>
    <tabular pivotCacheId="4">
      <items count="10">
        <i x="7" s="1"/>
        <i x="1" s="1"/>
        <i x="5" s="1"/>
        <i x="2" s="1"/>
        <i x="9" s="1"/>
        <i x="8" s="1"/>
        <i x="4" s="1"/>
        <i x="3"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SlicerStyleLight1 2" rowHeight="241300"/>
  <slicer name="Country" cache="Slicer_Country" caption="Country" columnCount="10" style="SlicerStyleLight1 2" rowHeight="241300"/>
  <slicer name="Stockcode" cache="Slicer_Stockcode" caption="Stockcode" columnCount="4" style="SlicerStyleLight1 2" rowHeight="241300"/>
</slicers>
</file>

<file path=xl/tables/table1.xml><?xml version="1.0" encoding="utf-8"?>
<table xmlns="http://schemas.openxmlformats.org/spreadsheetml/2006/main" id="1" name="Monthly_Performance" displayName="Monthly_Performance" ref="A1:H14" totalsRowShown="0">
  <autoFilter ref="A1:H14"/>
  <tableColumns count="8">
    <tableColumn id="1" name="Year"/>
    <tableColumn id="2" name="Month" dataDxfId="38"/>
    <tableColumn id="7" name="Month_Name" dataDxfId="37">
      <calculatedColumnFormula>TEXT(DATE(2000,Monthly_Performance[[#This Row],[Month]],1),"mmm")</calculatedColumnFormula>
    </tableColumn>
    <tableColumn id="8" name="Period" dataDxfId="36">
      <calculatedColumnFormula>DATE(Monthly_Performance[[#This Row],[Year]],Monthly_Performance[[#This Row],[Month]],1)</calculatedColumnFormula>
    </tableColumn>
    <tableColumn id="3" name="Total_Revenue" dataDxfId="35"/>
    <tableColumn id="4" name="Total_Quantity" dataDxfId="34" dataCellStyle="Comma"/>
    <tableColumn id="5" name="Transaction_Records" dataDxfId="33" dataCellStyle="Comma"/>
    <tableColumn id="6" name="Avg_Revenue_Per_Record" dataDxfId="32"/>
  </tableColumns>
  <tableStyleInfo name="TableStyleMedium2" showFirstColumn="0" showLastColumn="0" showRowStripes="1" showColumnStripes="0"/>
</table>
</file>

<file path=xl/tables/table2.xml><?xml version="1.0" encoding="utf-8"?>
<table xmlns="http://schemas.openxmlformats.org/spreadsheetml/2006/main" id="2" name="Country_Performance" displayName="Country_Performance" ref="A1:F39" totalsRowShown="0" headerRowDxfId="28" dataDxfId="27" headerRowCellStyle="Comma" dataCellStyle="Comma">
  <autoFilter ref="A1:F39"/>
  <tableColumns count="6">
    <tableColumn id="1" name="Country"/>
    <tableColumn id="2" name="Total_Revenue" dataDxfId="26"/>
    <tableColumn id="3" name="Total_Quantity" dataDxfId="25" dataCellStyle="Comma"/>
    <tableColumn id="4" name="Transaction_Records" dataDxfId="24" dataCellStyle="Comma"/>
    <tableColumn id="5" name="Unique_Orders" dataDxfId="23" dataCellStyle="Comma"/>
    <tableColumn id="6" name="Avg_Revenue_Per_Record" dataDxfId="22"/>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D11" totalsRowShown="0">
  <autoFilter ref="A1:D11"/>
  <tableColumns count="4">
    <tableColumn id="1" name="Stockcode" dataDxfId="18"/>
    <tableColumn id="2" name="Description"/>
    <tableColumn id="3" name="Total_Quantity" dataDxfId="17" dataCellStyle="Comma"/>
    <tableColumn id="4" name="Total_Revenue" dataDxfId="16"/>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D11" totalsRowShown="0">
  <autoFilter ref="A1:D11"/>
  <tableColumns count="4">
    <tableColumn id="1" name="Customer-ID"/>
    <tableColumn id="2" name="Unique_Orders"/>
    <tableColumn id="3" name="Total_Quantity" dataDxfId="12" dataCellStyle="Comma"/>
    <tableColumn id="4" name="Total_Revenue" dataDxfId="11"/>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E2" totalsRowShown="0" headerRowDxfId="10" dataDxfId="9" headerRowCellStyle="Comma" dataCellStyle="Comma">
  <autoFilter ref="A1:E2"/>
  <tableColumns count="5">
    <tableColumn id="1" name="Total_Unique_Invoices" dataDxfId="8" dataCellStyle="Comma"/>
    <tableColumn id="2" name="Cancelled_Unique_Invoices" dataDxfId="7" dataCellStyle="Comma"/>
    <tableColumn id="3" name="Cancelled_Invoice_Records" dataDxfId="6" dataCellStyle="Comma"/>
    <tableColumn id="4" name="Cancellation_Quantity" dataDxfId="5" dataCellStyle="Comma"/>
    <tableColumn id="5" name="Cancellation_Revenue_Adjustment" dataDxfId="4"/>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C2" totalsRowShown="0">
  <autoFilter ref="A1:C2"/>
  <tableColumns count="3">
    <tableColumn id="1" name="Top_10_Customer_Revenue" dataDxfId="3"/>
    <tableColumn id="2" name="Identified_Customer_Revenue" dataDxfId="2"/>
    <tableColumn id="3" name="Top_10_Revenue_Share_Percen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
  <sheetViews>
    <sheetView showGridLines="0" zoomScale="78" zoomScaleNormal="78" workbookViewId="0">
      <selection activeCell="W7" sqref="W7"/>
    </sheetView>
  </sheetViews>
  <sheetFormatPr defaultRowHeight="15" x14ac:dyDescent="0.25"/>
  <cols>
    <col min="1" max="17" width="10.7109375" customWidth="1"/>
  </cols>
  <sheetData>
    <row r="1" spans="1:17" ht="19.5" customHeight="1" x14ac:dyDescent="0.25">
      <c r="A1" s="22" t="s">
        <v>80</v>
      </c>
      <c r="B1" s="23"/>
      <c r="C1" s="23"/>
      <c r="D1" s="23"/>
      <c r="E1" s="23"/>
      <c r="F1" s="23"/>
      <c r="G1" s="23"/>
      <c r="H1" s="23"/>
      <c r="I1" s="23"/>
      <c r="J1" s="23"/>
      <c r="K1" s="23"/>
      <c r="L1" s="23"/>
      <c r="M1" s="23"/>
      <c r="N1" s="23"/>
      <c r="O1" s="23"/>
      <c r="P1" s="23"/>
      <c r="Q1" s="23"/>
    </row>
    <row r="2" spans="1:17" ht="20.100000000000001" customHeight="1" x14ac:dyDescent="0.25">
      <c r="A2" s="23"/>
      <c r="B2" s="23"/>
      <c r="C2" s="23"/>
      <c r="D2" s="23"/>
      <c r="E2" s="23"/>
      <c r="F2" s="23"/>
      <c r="G2" s="23"/>
      <c r="H2" s="23"/>
      <c r="I2" s="23"/>
      <c r="J2" s="23"/>
      <c r="K2" s="23"/>
      <c r="L2" s="23"/>
      <c r="M2" s="23"/>
      <c r="N2" s="23"/>
      <c r="O2" s="23"/>
      <c r="P2" s="23"/>
      <c r="Q2" s="23"/>
    </row>
    <row r="3" spans="1:17" ht="20.100000000000001" customHeight="1" x14ac:dyDescent="0.3">
      <c r="A3" s="24" t="s">
        <v>81</v>
      </c>
      <c r="B3" s="25"/>
      <c r="C3" s="25"/>
      <c r="D3" s="25"/>
      <c r="E3" s="25"/>
      <c r="F3" s="25"/>
      <c r="G3" s="25"/>
      <c r="H3" s="25"/>
      <c r="I3" s="25"/>
      <c r="J3" s="25"/>
      <c r="K3" s="25"/>
      <c r="L3" s="25"/>
      <c r="M3" s="25"/>
      <c r="N3" s="25"/>
      <c r="O3" s="25"/>
      <c r="P3" s="25"/>
      <c r="Q3" s="25"/>
    </row>
    <row r="4" spans="1:17" ht="20.100000000000001" customHeight="1" x14ac:dyDescent="0.25"/>
    <row r="5" spans="1:17" ht="20.100000000000001" customHeight="1" x14ac:dyDescent="0.25">
      <c r="A5" s="20" t="s">
        <v>82</v>
      </c>
      <c r="B5" s="20"/>
      <c r="C5" s="20"/>
      <c r="D5" s="20" t="s">
        <v>83</v>
      </c>
      <c r="E5" s="20"/>
      <c r="F5" s="20"/>
      <c r="G5" s="20" t="s">
        <v>84</v>
      </c>
      <c r="H5" s="20"/>
      <c r="I5" s="20"/>
      <c r="J5" s="20" t="s">
        <v>85</v>
      </c>
      <c r="K5" s="20"/>
      <c r="L5" s="20"/>
      <c r="M5" s="20" t="s">
        <v>86</v>
      </c>
      <c r="N5" s="20"/>
      <c r="O5" s="20"/>
      <c r="P5" s="20"/>
      <c r="Q5" s="20"/>
    </row>
    <row r="6" spans="1:17" ht="20.100000000000001" customHeight="1" x14ac:dyDescent="0.25">
      <c r="A6" s="20"/>
      <c r="B6" s="20"/>
      <c r="C6" s="20"/>
      <c r="D6" s="20"/>
      <c r="E6" s="20"/>
      <c r="F6" s="20"/>
      <c r="G6" s="20"/>
      <c r="H6" s="20"/>
      <c r="I6" s="20"/>
      <c r="J6" s="20"/>
      <c r="K6" s="20"/>
      <c r="L6" s="20"/>
      <c r="M6" s="20"/>
      <c r="N6" s="20"/>
      <c r="O6" s="20"/>
      <c r="P6" s="20"/>
      <c r="Q6" s="20"/>
    </row>
    <row r="7" spans="1:17" ht="20.100000000000001" customHeight="1" x14ac:dyDescent="0.25">
      <c r="A7" s="26">
        <f>'Monthly - Pivot Tables'!B17</f>
        <v>9747747.9339999985</v>
      </c>
      <c r="B7" s="26"/>
      <c r="C7" s="26"/>
      <c r="D7" s="27">
        <f>Cancellations!A2</f>
        <v>25900</v>
      </c>
      <c r="E7" s="27"/>
      <c r="F7" s="27"/>
      <c r="G7" s="19">
        <f>'Monthly - Pivot Tables'!E17</f>
        <v>5176450</v>
      </c>
      <c r="H7" s="19"/>
      <c r="I7" s="19"/>
      <c r="J7" s="19">
        <f>Cancellations!B2</f>
        <v>3836</v>
      </c>
      <c r="K7" s="19"/>
      <c r="L7" s="19"/>
      <c r="M7" s="21">
        <f>'Revenue Concentration'!C2</f>
        <v>16.5</v>
      </c>
      <c r="N7" s="21"/>
      <c r="O7" s="21"/>
      <c r="P7" s="21"/>
      <c r="Q7" s="21"/>
    </row>
    <row r="8" spans="1:17" ht="20.100000000000001" customHeight="1" x14ac:dyDescent="0.25">
      <c r="A8" s="26"/>
      <c r="B8" s="26"/>
      <c r="C8" s="26"/>
      <c r="D8" s="27"/>
      <c r="E8" s="27"/>
      <c r="F8" s="27"/>
      <c r="G8" s="19"/>
      <c r="H8" s="19"/>
      <c r="I8" s="19"/>
      <c r="J8" s="19"/>
      <c r="K8" s="19"/>
      <c r="L8" s="19"/>
      <c r="M8" s="21"/>
      <c r="N8" s="21"/>
      <c r="O8" s="21"/>
      <c r="P8" s="21"/>
      <c r="Q8" s="21"/>
    </row>
    <row r="9" spans="1:17" ht="20.100000000000001" customHeight="1" x14ac:dyDescent="0.25">
      <c r="A9" s="26"/>
      <c r="B9" s="26"/>
      <c r="C9" s="26"/>
      <c r="D9" s="27"/>
      <c r="E9" s="27"/>
      <c r="F9" s="27"/>
      <c r="G9" s="19"/>
      <c r="H9" s="19"/>
      <c r="I9" s="19"/>
      <c r="J9" s="19"/>
      <c r="K9" s="19"/>
      <c r="L9" s="19"/>
      <c r="M9" s="21"/>
      <c r="N9" s="21"/>
      <c r="O9" s="21"/>
      <c r="P9" s="21"/>
      <c r="Q9" s="21"/>
    </row>
    <row r="10" spans="1:17" ht="20.100000000000001" customHeight="1" x14ac:dyDescent="0.25">
      <c r="A10" s="15"/>
      <c r="B10" s="15"/>
      <c r="C10" s="15"/>
      <c r="D10" s="16"/>
      <c r="E10" s="16"/>
      <c r="F10" s="16"/>
      <c r="G10" s="17"/>
      <c r="H10" s="17"/>
      <c r="I10" s="17"/>
      <c r="J10" s="17"/>
      <c r="K10" s="17"/>
      <c r="L10" s="17"/>
      <c r="M10" s="18"/>
      <c r="N10" s="18"/>
      <c r="O10" s="18"/>
      <c r="P10" s="18"/>
      <c r="Q10" s="18"/>
    </row>
    <row r="11" spans="1:17" ht="20.100000000000001" customHeight="1" x14ac:dyDescent="0.25">
      <c r="A11" s="15"/>
      <c r="B11" s="15"/>
      <c r="C11" s="15"/>
      <c r="D11" s="16"/>
      <c r="E11" s="16"/>
      <c r="F11" s="16"/>
      <c r="G11" s="17"/>
      <c r="H11" s="17"/>
      <c r="I11" s="17"/>
      <c r="J11" s="17"/>
      <c r="K11" s="17"/>
      <c r="L11" s="17"/>
      <c r="M11" s="18"/>
      <c r="N11" s="18"/>
      <c r="O11" s="18"/>
      <c r="P11" s="18"/>
      <c r="Q11" s="18"/>
    </row>
    <row r="12" spans="1:17" ht="20.100000000000001" customHeight="1" x14ac:dyDescent="0.25">
      <c r="A12" s="15"/>
      <c r="B12" s="15"/>
      <c r="C12" s="15"/>
      <c r="D12" s="16"/>
      <c r="E12" s="16"/>
      <c r="F12" s="16"/>
      <c r="G12" s="17"/>
      <c r="H12" s="17"/>
      <c r="I12" s="17"/>
      <c r="J12" s="17"/>
      <c r="K12" s="17"/>
      <c r="L12" s="17"/>
      <c r="M12" s="18"/>
      <c r="N12" s="18"/>
      <c r="O12" s="18"/>
      <c r="P12" s="18"/>
      <c r="Q12" s="18"/>
    </row>
    <row r="13" spans="1:17" ht="20.100000000000001" customHeight="1" x14ac:dyDescent="0.25">
      <c r="A13" s="15"/>
      <c r="B13" s="15"/>
      <c r="C13" s="15"/>
      <c r="D13" s="16"/>
      <c r="E13" s="16"/>
      <c r="F13" s="16"/>
      <c r="G13" s="17"/>
      <c r="H13" s="17"/>
      <c r="I13" s="17"/>
      <c r="J13" s="17"/>
      <c r="K13" s="17"/>
      <c r="L13" s="17"/>
      <c r="M13" s="18"/>
      <c r="N13" s="18"/>
      <c r="O13" s="18"/>
      <c r="P13" s="18"/>
      <c r="Q13" s="18"/>
    </row>
    <row r="14" spans="1:17" ht="20.100000000000001" customHeight="1" x14ac:dyDescent="0.25">
      <c r="A14" s="15"/>
      <c r="B14" s="15"/>
      <c r="C14" s="15"/>
      <c r="D14" s="16"/>
      <c r="E14" s="16"/>
      <c r="F14" s="16"/>
      <c r="G14" s="17"/>
      <c r="H14" s="17"/>
      <c r="I14" s="17"/>
      <c r="J14" s="17"/>
      <c r="K14" s="17"/>
      <c r="L14" s="17"/>
      <c r="M14" s="18"/>
      <c r="N14" s="18"/>
      <c r="O14" s="18"/>
      <c r="P14" s="18"/>
      <c r="Q14" s="18"/>
    </row>
    <row r="15" spans="1:17" ht="20.100000000000001" customHeight="1" x14ac:dyDescent="0.25"/>
    <row r="16" spans="1:17"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19.5" customHeight="1" x14ac:dyDescent="0.25"/>
  </sheetData>
  <mergeCells count="12">
    <mergeCell ref="J7:L9"/>
    <mergeCell ref="M5:Q6"/>
    <mergeCell ref="M7:Q9"/>
    <mergeCell ref="A1:Q2"/>
    <mergeCell ref="A3:Q3"/>
    <mergeCell ref="A5:C6"/>
    <mergeCell ref="A7:C9"/>
    <mergeCell ref="D5:F6"/>
    <mergeCell ref="D7:F9"/>
    <mergeCell ref="G5:I6"/>
    <mergeCell ref="G7:I9"/>
    <mergeCell ref="J5:L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7"/>
  <sheetViews>
    <sheetView workbookViewId="0">
      <selection activeCell="B8" sqref="B8"/>
    </sheetView>
  </sheetViews>
  <sheetFormatPr defaultRowHeight="15" x14ac:dyDescent="0.25"/>
  <cols>
    <col min="1" max="1" width="13.140625" customWidth="1"/>
    <col min="2" max="2" width="21.140625" customWidth="1"/>
    <col min="3" max="3" width="21" customWidth="1"/>
    <col min="4" max="4" width="13.140625" customWidth="1"/>
    <col min="5" max="5" width="21" customWidth="1"/>
    <col min="6" max="7" width="26.28515625" bestFit="1" customWidth="1"/>
    <col min="8" max="8" width="9" customWidth="1"/>
    <col min="9" max="9" width="26.140625" bestFit="1" customWidth="1"/>
    <col min="10" max="10" width="31.28515625" bestFit="1" customWidth="1"/>
  </cols>
  <sheetData>
    <row r="3" spans="1:6" x14ac:dyDescent="0.25">
      <c r="A3" s="10" t="s">
        <v>72</v>
      </c>
      <c r="B3" t="s">
        <v>75</v>
      </c>
      <c r="D3" s="10" t="s">
        <v>72</v>
      </c>
      <c r="E3" t="s">
        <v>76</v>
      </c>
      <c r="F3" t="s">
        <v>74</v>
      </c>
    </row>
    <row r="4" spans="1:6" x14ac:dyDescent="0.25">
      <c r="A4" s="14">
        <v>40513</v>
      </c>
      <c r="B4" s="2">
        <v>748957.02</v>
      </c>
      <c r="D4" s="14">
        <v>40513</v>
      </c>
      <c r="E4" s="12">
        <v>342228</v>
      </c>
      <c r="F4" s="12">
        <v>42481</v>
      </c>
    </row>
    <row r="5" spans="1:6" x14ac:dyDescent="0.25">
      <c r="A5" s="14">
        <v>40544</v>
      </c>
      <c r="B5" s="2">
        <v>560000.26</v>
      </c>
      <c r="D5" s="14">
        <v>40544</v>
      </c>
      <c r="E5" s="12">
        <v>308966</v>
      </c>
      <c r="F5" s="12">
        <v>35147</v>
      </c>
    </row>
    <row r="6" spans="1:6" x14ac:dyDescent="0.25">
      <c r="A6" s="14">
        <v>40575</v>
      </c>
      <c r="B6" s="2">
        <v>498062.65</v>
      </c>
      <c r="D6" s="14">
        <v>40575</v>
      </c>
      <c r="E6" s="12">
        <v>277989</v>
      </c>
      <c r="F6" s="12">
        <v>27707</v>
      </c>
    </row>
    <row r="7" spans="1:6" x14ac:dyDescent="0.25">
      <c r="A7" s="14">
        <v>40603</v>
      </c>
      <c r="B7" s="2">
        <v>683267.08</v>
      </c>
      <c r="D7" s="14">
        <v>40603</v>
      </c>
      <c r="E7" s="12">
        <v>351872</v>
      </c>
      <c r="F7" s="12">
        <v>36748</v>
      </c>
    </row>
    <row r="8" spans="1:6" x14ac:dyDescent="0.25">
      <c r="A8" s="14">
        <v>40634</v>
      </c>
      <c r="B8" s="2">
        <v>493207.12099999998</v>
      </c>
      <c r="D8" s="14">
        <v>40634</v>
      </c>
      <c r="E8" s="12">
        <v>289098</v>
      </c>
      <c r="F8" s="12">
        <v>29916</v>
      </c>
    </row>
    <row r="9" spans="1:6" x14ac:dyDescent="0.25">
      <c r="A9" s="14">
        <v>40664</v>
      </c>
      <c r="B9" s="2">
        <v>723333.51</v>
      </c>
      <c r="D9" s="14">
        <v>40664</v>
      </c>
      <c r="E9" s="12">
        <v>380391</v>
      </c>
      <c r="F9" s="12">
        <v>37030</v>
      </c>
    </row>
    <row r="10" spans="1:6" x14ac:dyDescent="0.25">
      <c r="A10" s="14">
        <v>40695</v>
      </c>
      <c r="B10" s="2">
        <v>691123.12</v>
      </c>
      <c r="D10" s="14">
        <v>40695</v>
      </c>
      <c r="E10" s="12">
        <v>341623</v>
      </c>
      <c r="F10" s="12">
        <v>36874</v>
      </c>
    </row>
    <row r="11" spans="1:6" x14ac:dyDescent="0.25">
      <c r="A11" s="14">
        <v>40725</v>
      </c>
      <c r="B11" s="2">
        <v>681300.11100000003</v>
      </c>
      <c r="D11" s="14">
        <v>40725</v>
      </c>
      <c r="E11" s="12">
        <v>391116</v>
      </c>
      <c r="F11" s="12">
        <v>39518</v>
      </c>
    </row>
    <row r="12" spans="1:6" x14ac:dyDescent="0.25">
      <c r="A12" s="14">
        <v>40756</v>
      </c>
      <c r="B12" s="2">
        <v>682680.51</v>
      </c>
      <c r="D12" s="14">
        <v>40756</v>
      </c>
      <c r="E12" s="12">
        <v>406199</v>
      </c>
      <c r="F12" s="12">
        <v>35284</v>
      </c>
    </row>
    <row r="13" spans="1:6" x14ac:dyDescent="0.25">
      <c r="A13" s="14">
        <v>40787</v>
      </c>
      <c r="B13" s="2">
        <v>1019687.622</v>
      </c>
      <c r="D13" s="14">
        <v>40787</v>
      </c>
      <c r="E13" s="12">
        <v>549817</v>
      </c>
      <c r="F13" s="12">
        <v>50226</v>
      </c>
    </row>
    <row r="14" spans="1:6" x14ac:dyDescent="0.25">
      <c r="A14" s="14">
        <v>40817</v>
      </c>
      <c r="B14" s="2">
        <v>1070704.67</v>
      </c>
      <c r="D14" s="14">
        <v>40817</v>
      </c>
      <c r="E14" s="12">
        <v>570532</v>
      </c>
      <c r="F14" s="12">
        <v>60742</v>
      </c>
    </row>
    <row r="15" spans="1:6" x14ac:dyDescent="0.25">
      <c r="A15" s="14">
        <v>40848</v>
      </c>
      <c r="B15" s="2">
        <v>1461756.25</v>
      </c>
      <c r="D15" s="14">
        <v>40848</v>
      </c>
      <c r="E15" s="12">
        <v>740286</v>
      </c>
      <c r="F15" s="12">
        <v>84711</v>
      </c>
    </row>
    <row r="16" spans="1:6" x14ac:dyDescent="0.25">
      <c r="A16" s="14">
        <v>40878</v>
      </c>
      <c r="B16" s="2">
        <v>433668.01</v>
      </c>
      <c r="D16" s="14">
        <v>40878</v>
      </c>
      <c r="E16" s="12">
        <v>226333</v>
      </c>
      <c r="F16" s="12">
        <v>25525</v>
      </c>
    </row>
    <row r="17" spans="1:6" x14ac:dyDescent="0.25">
      <c r="A17" s="14" t="s">
        <v>73</v>
      </c>
      <c r="B17" s="2">
        <v>9747747.9339999985</v>
      </c>
      <c r="D17" s="14" t="s">
        <v>73</v>
      </c>
      <c r="E17" s="12">
        <v>5176450</v>
      </c>
      <c r="F17" s="12">
        <v>541909</v>
      </c>
    </row>
  </sheetData>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D18" sqref="D18"/>
    </sheetView>
  </sheetViews>
  <sheetFormatPr defaultRowHeight="15" x14ac:dyDescent="0.25"/>
  <cols>
    <col min="1" max="1" width="7.140625" customWidth="1"/>
    <col min="2" max="3" width="9.140625" style="4" customWidth="1"/>
    <col min="4" max="4" width="10.7109375" style="4" customWidth="1"/>
    <col min="5" max="5" width="16.42578125" style="2" customWidth="1"/>
    <col min="6" max="6" width="17.140625" style="3" customWidth="1"/>
    <col min="7" max="7" width="22.140625" style="3" customWidth="1"/>
    <col min="8" max="8" width="26.42578125" style="1" customWidth="1"/>
  </cols>
  <sheetData>
    <row r="1" spans="1:8" x14ac:dyDescent="0.25">
      <c r="A1" t="s">
        <v>0</v>
      </c>
      <c r="B1" s="4" t="s">
        <v>1</v>
      </c>
      <c r="C1" s="4" t="s">
        <v>6</v>
      </c>
      <c r="D1" s="4" t="s">
        <v>78</v>
      </c>
      <c r="E1" s="2" t="s">
        <v>2</v>
      </c>
      <c r="F1" s="3" t="s">
        <v>3</v>
      </c>
      <c r="G1" s="3" t="s">
        <v>4</v>
      </c>
      <c r="H1" s="1" t="s">
        <v>5</v>
      </c>
    </row>
    <row r="2" spans="1:8" x14ac:dyDescent="0.25">
      <c r="A2">
        <v>2010</v>
      </c>
      <c r="B2" s="4">
        <v>12</v>
      </c>
      <c r="C2" s="4" t="str">
        <f>TEXT(DATE(2000,Monthly_Performance[[#This Row],[Month]],1),"mmm")</f>
        <v>Dec</v>
      </c>
      <c r="D2" s="13">
        <f>DATE(Monthly_Performance[[#This Row],[Year]],Monthly_Performance[[#This Row],[Month]],1)</f>
        <v>40513</v>
      </c>
      <c r="E2" s="2">
        <v>748957.02</v>
      </c>
      <c r="F2" s="3">
        <v>342228</v>
      </c>
      <c r="G2" s="3">
        <v>42481</v>
      </c>
      <c r="H2" s="1">
        <v>17.630399943504099</v>
      </c>
    </row>
    <row r="3" spans="1:8" x14ac:dyDescent="0.25">
      <c r="A3">
        <v>2011</v>
      </c>
      <c r="B3" s="4">
        <v>1</v>
      </c>
      <c r="C3" s="4" t="str">
        <f>TEXT(DATE(2000,Monthly_Performance[[#This Row],[Month]],1),"mmm")</f>
        <v>Jan</v>
      </c>
      <c r="D3" s="13">
        <f>DATE(Monthly_Performance[[#This Row],[Year]],Monthly_Performance[[#This Row],[Month]],1)</f>
        <v>40544</v>
      </c>
      <c r="E3" s="2">
        <v>560000.26</v>
      </c>
      <c r="F3" s="3">
        <v>308966</v>
      </c>
      <c r="G3" s="3">
        <v>35147</v>
      </c>
      <c r="H3" s="1">
        <v>15.933088457051801</v>
      </c>
    </row>
    <row r="4" spans="1:8" x14ac:dyDescent="0.25">
      <c r="A4">
        <v>2011</v>
      </c>
      <c r="B4" s="4">
        <v>2</v>
      </c>
      <c r="C4" s="4" t="str">
        <f>TEXT(DATE(2000,Monthly_Performance[[#This Row],[Month]],1),"mmm")</f>
        <v>Feb</v>
      </c>
      <c r="D4" s="13">
        <f>DATE(Monthly_Performance[[#This Row],[Year]],Monthly_Performance[[#This Row],[Month]],1)</f>
        <v>40575</v>
      </c>
      <c r="E4" s="2">
        <v>498062.65</v>
      </c>
      <c r="F4" s="3">
        <v>277989</v>
      </c>
      <c r="G4" s="3">
        <v>27707</v>
      </c>
      <c r="H4" s="1">
        <v>17.976058396795001</v>
      </c>
    </row>
    <row r="5" spans="1:8" x14ac:dyDescent="0.25">
      <c r="A5">
        <v>2011</v>
      </c>
      <c r="B5" s="4">
        <v>3</v>
      </c>
      <c r="C5" s="4" t="str">
        <f>TEXT(DATE(2000,Monthly_Performance[[#This Row],[Month]],1),"mmm")</f>
        <v>Mar</v>
      </c>
      <c r="D5" s="13">
        <f>DATE(Monthly_Performance[[#This Row],[Year]],Monthly_Performance[[#This Row],[Month]],1)</f>
        <v>40603</v>
      </c>
      <c r="E5" s="2">
        <v>683267.08</v>
      </c>
      <c r="F5" s="3">
        <v>351872</v>
      </c>
      <c r="G5" s="3">
        <v>36748</v>
      </c>
      <c r="H5" s="1">
        <v>18.593313377598701</v>
      </c>
    </row>
    <row r="6" spans="1:8" x14ac:dyDescent="0.25">
      <c r="A6">
        <v>2011</v>
      </c>
      <c r="B6" s="4">
        <v>4</v>
      </c>
      <c r="C6" s="4" t="str">
        <f>TEXT(DATE(2000,Monthly_Performance[[#This Row],[Month]],1),"mmm")</f>
        <v>Apr</v>
      </c>
      <c r="D6" s="13">
        <f>DATE(Monthly_Performance[[#This Row],[Year]],Monthly_Performance[[#This Row],[Month]],1)</f>
        <v>40634</v>
      </c>
      <c r="E6" s="2">
        <v>493207.12099999998</v>
      </c>
      <c r="F6" s="3">
        <v>289098</v>
      </c>
      <c r="G6" s="3">
        <v>29916</v>
      </c>
      <c r="H6" s="1">
        <v>16.486399284663701</v>
      </c>
    </row>
    <row r="7" spans="1:8" x14ac:dyDescent="0.25">
      <c r="A7">
        <v>2011</v>
      </c>
      <c r="B7" s="4">
        <v>5</v>
      </c>
      <c r="C7" s="4" t="str">
        <f>TEXT(DATE(2000,Monthly_Performance[[#This Row],[Month]],1),"mmm")</f>
        <v>May</v>
      </c>
      <c r="D7" s="13">
        <f>DATE(Monthly_Performance[[#This Row],[Year]],Monthly_Performance[[#This Row],[Month]],1)</f>
        <v>40664</v>
      </c>
      <c r="E7" s="2">
        <v>723333.51</v>
      </c>
      <c r="F7" s="3">
        <v>380391</v>
      </c>
      <c r="G7" s="3">
        <v>37030</v>
      </c>
      <c r="H7" s="1">
        <v>19.533716176073401</v>
      </c>
    </row>
    <row r="8" spans="1:8" x14ac:dyDescent="0.25">
      <c r="A8">
        <v>2011</v>
      </c>
      <c r="B8" s="4">
        <v>6</v>
      </c>
      <c r="C8" s="4" t="str">
        <f>TEXT(DATE(2000,Monthly_Performance[[#This Row],[Month]],1),"mmm")</f>
        <v>Jun</v>
      </c>
      <c r="D8" s="13">
        <f>DATE(Monthly_Performance[[#This Row],[Year]],Monthly_Performance[[#This Row],[Month]],1)</f>
        <v>40695</v>
      </c>
      <c r="E8" s="2">
        <v>691123.12</v>
      </c>
      <c r="F8" s="3">
        <v>341623</v>
      </c>
      <c r="G8" s="3">
        <v>36874</v>
      </c>
      <c r="H8" s="1">
        <v>18.742830178445502</v>
      </c>
    </row>
    <row r="9" spans="1:8" x14ac:dyDescent="0.25">
      <c r="A9">
        <v>2011</v>
      </c>
      <c r="B9" s="4">
        <v>7</v>
      </c>
      <c r="C9" s="4" t="str">
        <f>TEXT(DATE(2000,Monthly_Performance[[#This Row],[Month]],1),"mmm")</f>
        <v>Jul</v>
      </c>
      <c r="D9" s="13">
        <f>DATE(Monthly_Performance[[#This Row],[Year]],Monthly_Performance[[#This Row],[Month]],1)</f>
        <v>40725</v>
      </c>
      <c r="E9" s="2">
        <v>681300.11100000003</v>
      </c>
      <c r="F9" s="3">
        <v>391116</v>
      </c>
      <c r="G9" s="3">
        <v>39518</v>
      </c>
      <c r="H9" s="1">
        <v>17.240247760514102</v>
      </c>
    </row>
    <row r="10" spans="1:8" x14ac:dyDescent="0.25">
      <c r="A10">
        <v>2011</v>
      </c>
      <c r="B10" s="4">
        <v>8</v>
      </c>
      <c r="C10" s="4" t="str">
        <f>TEXT(DATE(2000,Monthly_Performance[[#This Row],[Month]],1),"mmm")</f>
        <v>Aug</v>
      </c>
      <c r="D10" s="13">
        <f>DATE(Monthly_Performance[[#This Row],[Year]],Monthly_Performance[[#This Row],[Month]],1)</f>
        <v>40756</v>
      </c>
      <c r="E10" s="2">
        <v>682680.51</v>
      </c>
      <c r="F10" s="3">
        <v>406199</v>
      </c>
      <c r="G10" s="3">
        <v>35284</v>
      </c>
      <c r="H10" s="1">
        <v>19.348160922797799</v>
      </c>
    </row>
    <row r="11" spans="1:8" x14ac:dyDescent="0.25">
      <c r="A11">
        <v>2011</v>
      </c>
      <c r="B11" s="4">
        <v>9</v>
      </c>
      <c r="C11" s="4" t="str">
        <f>TEXT(DATE(2000,Monthly_Performance[[#This Row],[Month]],1),"mmm")</f>
        <v>Sep</v>
      </c>
      <c r="D11" s="13">
        <f>DATE(Monthly_Performance[[#This Row],[Year]],Monthly_Performance[[#This Row],[Month]],1)</f>
        <v>40787</v>
      </c>
      <c r="E11" s="2">
        <v>1019687.622</v>
      </c>
      <c r="F11" s="3">
        <v>549817</v>
      </c>
      <c r="G11" s="3">
        <v>50226</v>
      </c>
      <c r="H11" s="1">
        <v>20.301987456695699</v>
      </c>
    </row>
    <row r="12" spans="1:8" x14ac:dyDescent="0.25">
      <c r="A12">
        <v>2011</v>
      </c>
      <c r="B12" s="4">
        <v>10</v>
      </c>
      <c r="C12" s="4" t="str">
        <f>TEXT(DATE(2000,Monthly_Performance[[#This Row],[Month]],1),"mmm")</f>
        <v>Oct</v>
      </c>
      <c r="D12" s="13">
        <f>DATE(Monthly_Performance[[#This Row],[Year]],Monthly_Performance[[#This Row],[Month]],1)</f>
        <v>40817</v>
      </c>
      <c r="E12" s="2">
        <v>1070704.67</v>
      </c>
      <c r="F12" s="3">
        <v>570532</v>
      </c>
      <c r="G12" s="3">
        <v>60742</v>
      </c>
      <c r="H12" s="1">
        <v>17.627089493266599</v>
      </c>
    </row>
    <row r="13" spans="1:8" x14ac:dyDescent="0.25">
      <c r="A13">
        <v>2011</v>
      </c>
      <c r="B13" s="4">
        <v>11</v>
      </c>
      <c r="C13" s="4" t="str">
        <f>TEXT(DATE(2000,Monthly_Performance[[#This Row],[Month]],1),"mmm")</f>
        <v>Nov</v>
      </c>
      <c r="D13" s="13">
        <f>DATE(Monthly_Performance[[#This Row],[Year]],Monthly_Performance[[#This Row],[Month]],1)</f>
        <v>40848</v>
      </c>
      <c r="E13" s="2">
        <v>1461756.25</v>
      </c>
      <c r="F13" s="3">
        <v>740286</v>
      </c>
      <c r="G13" s="3">
        <v>84711</v>
      </c>
      <c r="H13" s="1">
        <v>17.255802080013201</v>
      </c>
    </row>
    <row r="14" spans="1:8" x14ac:dyDescent="0.25">
      <c r="A14">
        <v>2011</v>
      </c>
      <c r="B14" s="4">
        <v>12</v>
      </c>
      <c r="C14" s="4" t="str">
        <f>TEXT(DATE(2000,Monthly_Performance[[#This Row],[Month]],1),"mmm")</f>
        <v>Dec</v>
      </c>
      <c r="D14" s="13">
        <f>DATE(Monthly_Performance[[#This Row],[Year]],Monthly_Performance[[#This Row],[Month]],1)</f>
        <v>40878</v>
      </c>
      <c r="E14" s="2">
        <v>433668.01</v>
      </c>
      <c r="F14" s="3">
        <v>226333</v>
      </c>
      <c r="G14" s="3">
        <v>25525</v>
      </c>
      <c r="H14" s="1">
        <v>16.989931831537699</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2"/>
  <sheetViews>
    <sheetView tabSelected="1" workbookViewId="0">
      <selection activeCell="E17" sqref="E17"/>
    </sheetView>
  </sheetViews>
  <sheetFormatPr defaultRowHeight="15" x14ac:dyDescent="0.25"/>
  <cols>
    <col min="1" max="1" width="15.42578125" customWidth="1"/>
    <col min="2" max="2" width="21.140625" customWidth="1"/>
    <col min="4" max="4" width="15.42578125" customWidth="1"/>
    <col min="5" max="5" width="26.28515625" customWidth="1"/>
    <col min="6" max="7" width="15.42578125" customWidth="1"/>
    <col min="8" max="8" width="21" bestFit="1" customWidth="1"/>
    <col min="9" max="9" width="21.5703125" bestFit="1" customWidth="1"/>
  </cols>
  <sheetData>
    <row r="3" spans="1:8" x14ac:dyDescent="0.25">
      <c r="A3" s="10" t="s">
        <v>72</v>
      </c>
      <c r="B3" t="s">
        <v>75</v>
      </c>
      <c r="D3" s="10" t="s">
        <v>72</v>
      </c>
      <c r="E3" t="s">
        <v>74</v>
      </c>
      <c r="G3" s="10" t="s">
        <v>72</v>
      </c>
      <c r="H3" t="s">
        <v>76</v>
      </c>
    </row>
    <row r="4" spans="1:8" x14ac:dyDescent="0.25">
      <c r="A4" s="11" t="s">
        <v>8</v>
      </c>
      <c r="B4" s="2">
        <v>8187806.3640000001</v>
      </c>
      <c r="D4" s="11" t="s">
        <v>8</v>
      </c>
      <c r="E4" s="12">
        <v>495478</v>
      </c>
      <c r="G4" s="11" t="s">
        <v>8</v>
      </c>
      <c r="H4" s="12">
        <v>4263829</v>
      </c>
    </row>
    <row r="5" spans="1:8" x14ac:dyDescent="0.25">
      <c r="A5" s="11" t="s">
        <v>9</v>
      </c>
      <c r="B5" s="2">
        <v>284661.53999999998</v>
      </c>
      <c r="D5" s="11" t="s">
        <v>11</v>
      </c>
      <c r="E5" s="12">
        <v>9495</v>
      </c>
      <c r="G5" s="11" t="s">
        <v>9</v>
      </c>
      <c r="H5" s="12">
        <v>200128</v>
      </c>
    </row>
    <row r="6" spans="1:8" x14ac:dyDescent="0.25">
      <c r="A6" s="11" t="s">
        <v>10</v>
      </c>
      <c r="B6" s="2">
        <v>263276.82</v>
      </c>
      <c r="D6" s="11" t="s">
        <v>12</v>
      </c>
      <c r="E6" s="12">
        <v>8557</v>
      </c>
      <c r="G6" s="11" t="s">
        <v>10</v>
      </c>
      <c r="H6" s="12">
        <v>142637</v>
      </c>
    </row>
    <row r="7" spans="1:8" x14ac:dyDescent="0.25">
      <c r="A7" s="11" t="s">
        <v>11</v>
      </c>
      <c r="B7" s="2">
        <v>221698.21</v>
      </c>
      <c r="D7" s="11" t="s">
        <v>10</v>
      </c>
      <c r="E7" s="12">
        <v>8196</v>
      </c>
      <c r="G7" s="11" t="s">
        <v>11</v>
      </c>
      <c r="H7" s="12">
        <v>117448</v>
      </c>
    </row>
    <row r="8" spans="1:8" x14ac:dyDescent="0.25">
      <c r="A8" s="11" t="s">
        <v>12</v>
      </c>
      <c r="B8" s="2">
        <v>197403.9</v>
      </c>
      <c r="D8" s="11" t="s">
        <v>15</v>
      </c>
      <c r="E8" s="12">
        <v>2533</v>
      </c>
      <c r="G8" s="11" t="s">
        <v>12</v>
      </c>
      <c r="H8" s="12">
        <v>110480</v>
      </c>
    </row>
    <row r="9" spans="1:8" x14ac:dyDescent="0.25">
      <c r="A9" s="11" t="s">
        <v>13</v>
      </c>
      <c r="B9" s="2">
        <v>137077.26999999999</v>
      </c>
      <c r="D9" s="11" t="s">
        <v>9</v>
      </c>
      <c r="E9" s="12">
        <v>2371</v>
      </c>
      <c r="G9" s="11" t="s">
        <v>13</v>
      </c>
      <c r="H9" s="12">
        <v>83653</v>
      </c>
    </row>
    <row r="10" spans="1:8" x14ac:dyDescent="0.25">
      <c r="A10" s="11" t="s">
        <v>14</v>
      </c>
      <c r="B10" s="2">
        <v>56385.35</v>
      </c>
      <c r="D10" s="11" t="s">
        <v>16</v>
      </c>
      <c r="E10" s="12">
        <v>2069</v>
      </c>
      <c r="G10" s="11" t="s">
        <v>17</v>
      </c>
      <c r="H10" s="12">
        <v>35637</v>
      </c>
    </row>
    <row r="11" spans="1:8" x14ac:dyDescent="0.25">
      <c r="A11" s="11" t="s">
        <v>73</v>
      </c>
      <c r="B11" s="2">
        <v>9348309.4539999999</v>
      </c>
      <c r="D11" s="11" t="s">
        <v>73</v>
      </c>
      <c r="E11" s="12">
        <v>528699</v>
      </c>
      <c r="G11" s="11" t="s">
        <v>73</v>
      </c>
      <c r="H11" s="12">
        <v>4953812</v>
      </c>
    </row>
    <row r="14" spans="1:8" x14ac:dyDescent="0.25">
      <c r="A14" s="10" t="s">
        <v>72</v>
      </c>
      <c r="B14" t="s">
        <v>77</v>
      </c>
    </row>
    <row r="15" spans="1:8" x14ac:dyDescent="0.25">
      <c r="A15" s="11" t="s">
        <v>9</v>
      </c>
      <c r="B15" s="12">
        <v>120.05969633066201</v>
      </c>
    </row>
    <row r="16" spans="1:8" x14ac:dyDescent="0.25">
      <c r="A16" s="11" t="s">
        <v>13</v>
      </c>
      <c r="B16" s="12">
        <v>108.877895154884</v>
      </c>
    </row>
    <row r="17" spans="1:2" x14ac:dyDescent="0.25">
      <c r="A17" s="11" t="s">
        <v>18</v>
      </c>
      <c r="B17" s="12">
        <v>98.716815642458101</v>
      </c>
    </row>
    <row r="18" spans="1:2" x14ac:dyDescent="0.25">
      <c r="A18" s="11" t="s">
        <v>17</v>
      </c>
      <c r="B18" s="12">
        <v>79.211926406926395</v>
      </c>
    </row>
    <row r="19" spans="1:2" x14ac:dyDescent="0.25">
      <c r="A19" s="11" t="s">
        <v>23</v>
      </c>
      <c r="B19" s="12">
        <v>48.247146529562897</v>
      </c>
    </row>
    <row r="20" spans="1:2" x14ac:dyDescent="0.25">
      <c r="A20" s="11" t="s">
        <v>39</v>
      </c>
      <c r="B20" s="12">
        <v>47.458857142857099</v>
      </c>
    </row>
    <row r="21" spans="1:2" x14ac:dyDescent="0.25">
      <c r="A21" s="11" t="s">
        <v>28</v>
      </c>
      <c r="B21" s="12">
        <v>39.827030567685497</v>
      </c>
    </row>
    <row r="22" spans="1:2" x14ac:dyDescent="0.25">
      <c r="A22" s="11" t="s">
        <v>73</v>
      </c>
      <c r="B22" s="12">
        <v>542.39936777503601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topLeftCell="A2" workbookViewId="0">
      <selection activeCell="E4" sqref="E4"/>
    </sheetView>
  </sheetViews>
  <sheetFormatPr defaultRowHeight="15" x14ac:dyDescent="0.25"/>
  <cols>
    <col min="1" max="1" width="20.42578125" bestFit="1" customWidth="1"/>
    <col min="2" max="2" width="16.42578125" style="2" customWidth="1"/>
    <col min="3" max="3" width="17.140625" style="3" customWidth="1"/>
    <col min="4" max="4" width="22.140625" style="3" customWidth="1"/>
    <col min="5" max="5" width="17.5703125" style="3" customWidth="1"/>
    <col min="6" max="6" width="26.42578125" style="1" customWidth="1"/>
  </cols>
  <sheetData>
    <row r="1" spans="1:6" x14ac:dyDescent="0.25">
      <c r="A1" t="s">
        <v>46</v>
      </c>
      <c r="B1" s="7" t="s">
        <v>2</v>
      </c>
      <c r="C1" s="3" t="s">
        <v>3</v>
      </c>
      <c r="D1" s="3" t="s">
        <v>4</v>
      </c>
      <c r="E1" s="3" t="s">
        <v>7</v>
      </c>
      <c r="F1" s="6" t="s">
        <v>5</v>
      </c>
    </row>
    <row r="2" spans="1:6" x14ac:dyDescent="0.25">
      <c r="A2" t="s">
        <v>8</v>
      </c>
      <c r="B2" s="2">
        <v>8187806.3640000001</v>
      </c>
      <c r="C2" s="3">
        <v>4263829</v>
      </c>
      <c r="D2" s="3">
        <v>495478</v>
      </c>
      <c r="E2" s="3">
        <v>23494</v>
      </c>
      <c r="F2" s="1">
        <v>16.525065419655299</v>
      </c>
    </row>
    <row r="3" spans="1:6" x14ac:dyDescent="0.25">
      <c r="A3" t="s">
        <v>9</v>
      </c>
      <c r="B3" s="2">
        <v>284661.53999999998</v>
      </c>
      <c r="C3" s="3">
        <v>200128</v>
      </c>
      <c r="D3" s="3">
        <v>2371</v>
      </c>
      <c r="E3" s="3">
        <v>101</v>
      </c>
      <c r="F3" s="1">
        <v>120.05969633066201</v>
      </c>
    </row>
    <row r="4" spans="1:6" x14ac:dyDescent="0.25">
      <c r="A4" t="s">
        <v>10</v>
      </c>
      <c r="B4" s="2">
        <v>263276.82</v>
      </c>
      <c r="C4" s="3">
        <v>142637</v>
      </c>
      <c r="D4" s="3">
        <v>8196</v>
      </c>
      <c r="E4" s="3">
        <v>360</v>
      </c>
      <c r="F4" s="1">
        <v>32.122598828696901</v>
      </c>
    </row>
    <row r="5" spans="1:6" x14ac:dyDescent="0.25">
      <c r="A5" t="s">
        <v>11</v>
      </c>
      <c r="B5" s="2">
        <v>221698.21</v>
      </c>
      <c r="C5" s="3">
        <v>117448</v>
      </c>
      <c r="D5" s="3">
        <v>9495</v>
      </c>
      <c r="E5" s="3">
        <v>603</v>
      </c>
      <c r="F5" s="1">
        <v>23.348942601369099</v>
      </c>
    </row>
    <row r="6" spans="1:6" x14ac:dyDescent="0.25">
      <c r="A6" t="s">
        <v>12</v>
      </c>
      <c r="B6" s="2">
        <v>197403.9</v>
      </c>
      <c r="C6" s="3">
        <v>110480</v>
      </c>
      <c r="D6" s="3">
        <v>8557</v>
      </c>
      <c r="E6" s="3">
        <v>461</v>
      </c>
      <c r="F6" s="1">
        <v>23.0692883019749</v>
      </c>
    </row>
    <row r="7" spans="1:6" x14ac:dyDescent="0.25">
      <c r="A7" t="s">
        <v>13</v>
      </c>
      <c r="B7" s="2">
        <v>137077.26999999999</v>
      </c>
      <c r="C7" s="3">
        <v>83653</v>
      </c>
      <c r="D7" s="3">
        <v>1259</v>
      </c>
      <c r="E7" s="3">
        <v>69</v>
      </c>
      <c r="F7" s="1">
        <v>108.877895154884</v>
      </c>
    </row>
    <row r="8" spans="1:6" x14ac:dyDescent="0.25">
      <c r="A8" t="s">
        <v>14</v>
      </c>
      <c r="B8" s="2">
        <v>56385.35</v>
      </c>
      <c r="C8" s="3">
        <v>30325</v>
      </c>
      <c r="D8" s="3">
        <v>2002</v>
      </c>
      <c r="E8" s="3">
        <v>74</v>
      </c>
      <c r="F8" s="1">
        <v>28.164510489510398</v>
      </c>
    </row>
    <row r="9" spans="1:6" x14ac:dyDescent="0.25">
      <c r="A9" t="s">
        <v>15</v>
      </c>
      <c r="B9" s="2">
        <v>54774.58</v>
      </c>
      <c r="C9" s="3">
        <v>26824</v>
      </c>
      <c r="D9" s="3">
        <v>2533</v>
      </c>
      <c r="E9" s="3">
        <v>105</v>
      </c>
      <c r="F9" s="1">
        <v>21.6243900513225</v>
      </c>
    </row>
    <row r="10" spans="1:6" x14ac:dyDescent="0.25">
      <c r="A10" t="s">
        <v>16</v>
      </c>
      <c r="B10" s="2">
        <v>40910.959999999999</v>
      </c>
      <c r="C10" s="3">
        <v>23152</v>
      </c>
      <c r="D10" s="3">
        <v>2069</v>
      </c>
      <c r="E10" s="3">
        <v>119</v>
      </c>
      <c r="F10" s="1">
        <v>19.773301111648099</v>
      </c>
    </row>
    <row r="11" spans="1:6" x14ac:dyDescent="0.25">
      <c r="A11" t="s">
        <v>17</v>
      </c>
      <c r="B11" s="2">
        <v>36595.910000000003</v>
      </c>
      <c r="C11" s="3">
        <v>35637</v>
      </c>
      <c r="D11" s="3">
        <v>462</v>
      </c>
      <c r="E11" s="3">
        <v>46</v>
      </c>
      <c r="F11" s="1">
        <v>79.211926406926395</v>
      </c>
    </row>
    <row r="12" spans="1:6" x14ac:dyDescent="0.25">
      <c r="A12" t="s">
        <v>18</v>
      </c>
      <c r="B12" s="2">
        <v>35340.620000000003</v>
      </c>
      <c r="C12" s="3">
        <v>25218</v>
      </c>
      <c r="D12" s="3">
        <v>358</v>
      </c>
      <c r="E12" s="3">
        <v>28</v>
      </c>
      <c r="F12" s="1">
        <v>98.716815642458101</v>
      </c>
    </row>
    <row r="13" spans="1:6" x14ac:dyDescent="0.25">
      <c r="A13" t="s">
        <v>19</v>
      </c>
      <c r="B13" s="2">
        <v>35163.46</v>
      </c>
      <c r="C13" s="3">
        <v>19247</v>
      </c>
      <c r="D13" s="3">
        <v>1086</v>
      </c>
      <c r="E13" s="3">
        <v>40</v>
      </c>
      <c r="F13" s="1">
        <v>32.378876611418001</v>
      </c>
    </row>
    <row r="14" spans="1:6" x14ac:dyDescent="0.25">
      <c r="A14" t="s">
        <v>20</v>
      </c>
      <c r="B14" s="2">
        <v>29367.02</v>
      </c>
      <c r="C14" s="3">
        <v>16180</v>
      </c>
      <c r="D14" s="3">
        <v>1519</v>
      </c>
      <c r="E14" s="3">
        <v>71</v>
      </c>
      <c r="F14" s="1">
        <v>19.333127057274499</v>
      </c>
    </row>
    <row r="15" spans="1:6" x14ac:dyDescent="0.25">
      <c r="A15" t="s">
        <v>21</v>
      </c>
      <c r="B15" s="2">
        <v>22326.74</v>
      </c>
      <c r="C15" s="3">
        <v>10666</v>
      </c>
      <c r="D15" s="3">
        <v>695</v>
      </c>
      <c r="E15" s="3">
        <v>48</v>
      </c>
      <c r="F15" s="1">
        <v>32.124805755395599</v>
      </c>
    </row>
    <row r="16" spans="1:6" x14ac:dyDescent="0.25">
      <c r="A16" t="s">
        <v>22</v>
      </c>
      <c r="B16" s="2">
        <v>20086.29</v>
      </c>
      <c r="C16" s="3">
        <v>9479</v>
      </c>
      <c r="D16" s="3">
        <v>758</v>
      </c>
      <c r="E16" s="3">
        <v>33</v>
      </c>
      <c r="F16" s="1">
        <v>26.499063324538199</v>
      </c>
    </row>
    <row r="17" spans="1:6" x14ac:dyDescent="0.25">
      <c r="A17" t="s">
        <v>23</v>
      </c>
      <c r="B17" s="2">
        <v>18768.14</v>
      </c>
      <c r="C17" s="3">
        <v>8188</v>
      </c>
      <c r="D17" s="3">
        <v>389</v>
      </c>
      <c r="E17" s="3">
        <v>21</v>
      </c>
      <c r="F17" s="1">
        <v>48.247146529562897</v>
      </c>
    </row>
    <row r="18" spans="1:6" x14ac:dyDescent="0.25">
      <c r="A18" t="s">
        <v>24</v>
      </c>
      <c r="B18" s="2">
        <v>16890.509999999998</v>
      </c>
      <c r="C18" s="3">
        <v>7999</v>
      </c>
      <c r="D18" s="3">
        <v>803</v>
      </c>
      <c r="E18" s="3">
        <v>55</v>
      </c>
      <c r="F18" s="1">
        <v>21.034259028642499</v>
      </c>
    </row>
    <row r="19" spans="1:6" x14ac:dyDescent="0.25">
      <c r="A19" t="s">
        <v>25</v>
      </c>
      <c r="B19" s="2">
        <v>12946.29</v>
      </c>
      <c r="C19" s="3">
        <v>6317</v>
      </c>
      <c r="D19" s="3">
        <v>622</v>
      </c>
      <c r="E19" s="3">
        <v>20</v>
      </c>
      <c r="F19" s="1">
        <v>20.813971061093199</v>
      </c>
    </row>
    <row r="20" spans="1:6" x14ac:dyDescent="0.25">
      <c r="A20" t="s">
        <v>26</v>
      </c>
      <c r="B20" s="2">
        <v>10154.32</v>
      </c>
      <c r="C20" s="3">
        <v>4827</v>
      </c>
      <c r="D20" s="3">
        <v>401</v>
      </c>
      <c r="E20" s="3">
        <v>19</v>
      </c>
      <c r="F20" s="1">
        <v>25.322493765586</v>
      </c>
    </row>
    <row r="21" spans="1:6" x14ac:dyDescent="0.25">
      <c r="A21" t="s">
        <v>27</v>
      </c>
      <c r="B21" s="2">
        <v>10117.040000000001</v>
      </c>
      <c r="C21" s="3">
        <v>4769</v>
      </c>
      <c r="D21" s="3">
        <v>288</v>
      </c>
      <c r="E21" s="3">
        <v>15</v>
      </c>
      <c r="F21" s="1">
        <v>35.128611111111098</v>
      </c>
    </row>
    <row r="22" spans="1:6" x14ac:dyDescent="0.25">
      <c r="A22" t="s">
        <v>28</v>
      </c>
      <c r="B22" s="2">
        <v>9120.39</v>
      </c>
      <c r="C22" s="3">
        <v>5234</v>
      </c>
      <c r="D22" s="3">
        <v>229</v>
      </c>
      <c r="E22" s="3">
        <v>10</v>
      </c>
      <c r="F22" s="1">
        <v>39.827030567685497</v>
      </c>
    </row>
    <row r="23" spans="1:6" x14ac:dyDescent="0.25">
      <c r="A23" t="s">
        <v>29</v>
      </c>
      <c r="B23" s="2">
        <v>7907.82</v>
      </c>
      <c r="C23" s="3">
        <v>4353</v>
      </c>
      <c r="D23" s="3">
        <v>297</v>
      </c>
      <c r="E23" s="3">
        <v>9</v>
      </c>
      <c r="F23" s="1">
        <v>26.625656565656499</v>
      </c>
    </row>
    <row r="24" spans="1:6" x14ac:dyDescent="0.25">
      <c r="A24" t="s">
        <v>30</v>
      </c>
      <c r="B24" s="2">
        <v>7213.14</v>
      </c>
      <c r="C24" s="3">
        <v>3653</v>
      </c>
      <c r="D24" s="3">
        <v>341</v>
      </c>
      <c r="E24" s="3">
        <v>24</v>
      </c>
      <c r="F24" s="1">
        <v>21.152903225806401</v>
      </c>
    </row>
    <row r="25" spans="1:6" x14ac:dyDescent="0.25">
      <c r="A25" t="s">
        <v>31</v>
      </c>
      <c r="B25" s="2">
        <v>4749.79</v>
      </c>
      <c r="C25" s="3">
        <v>3300</v>
      </c>
      <c r="D25" s="3">
        <v>446</v>
      </c>
      <c r="E25" s="3">
        <v>13</v>
      </c>
      <c r="F25" s="1">
        <v>10.649753363228699</v>
      </c>
    </row>
    <row r="26" spans="1:6" x14ac:dyDescent="0.25">
      <c r="A26" t="s">
        <v>32</v>
      </c>
      <c r="B26" s="2">
        <v>4710.5200000000004</v>
      </c>
      <c r="C26" s="3">
        <v>1556</v>
      </c>
      <c r="D26" s="3">
        <v>146</v>
      </c>
      <c r="E26" s="3">
        <v>6</v>
      </c>
      <c r="F26" s="1">
        <v>32.2638356164383</v>
      </c>
    </row>
    <row r="27" spans="1:6" x14ac:dyDescent="0.25">
      <c r="A27" t="s">
        <v>33</v>
      </c>
      <c r="B27" s="2">
        <v>4310</v>
      </c>
      <c r="C27" s="3">
        <v>2458</v>
      </c>
      <c r="D27" s="3">
        <v>182</v>
      </c>
      <c r="E27" s="3">
        <v>7</v>
      </c>
      <c r="F27" s="1">
        <v>23.681318681318601</v>
      </c>
    </row>
    <row r="28" spans="1:6" x14ac:dyDescent="0.25">
      <c r="A28" t="s">
        <v>34</v>
      </c>
      <c r="B28" s="2">
        <v>3666.38</v>
      </c>
      <c r="C28" s="3">
        <v>2763</v>
      </c>
      <c r="D28" s="3">
        <v>151</v>
      </c>
      <c r="E28" s="3">
        <v>6</v>
      </c>
      <c r="F28" s="1">
        <v>24.280662251655599</v>
      </c>
    </row>
    <row r="29" spans="1:6" x14ac:dyDescent="0.25">
      <c r="A29" t="s">
        <v>35</v>
      </c>
      <c r="B29" s="2">
        <v>2505.4699999999998</v>
      </c>
      <c r="C29" s="3">
        <v>944</v>
      </c>
      <c r="D29" s="3">
        <v>127</v>
      </c>
      <c r="E29" s="3">
        <v>10</v>
      </c>
      <c r="F29" s="1">
        <v>19.728110236220399</v>
      </c>
    </row>
    <row r="30" spans="1:6" x14ac:dyDescent="0.25">
      <c r="A30" t="s">
        <v>36</v>
      </c>
      <c r="B30" s="2">
        <v>1902.28</v>
      </c>
      <c r="C30" s="3">
        <v>982</v>
      </c>
      <c r="D30" s="3">
        <v>68</v>
      </c>
      <c r="E30" s="3">
        <v>3</v>
      </c>
      <c r="F30" s="1">
        <v>27.9747058823529</v>
      </c>
    </row>
    <row r="31" spans="1:6" x14ac:dyDescent="0.25">
      <c r="A31" t="s">
        <v>37</v>
      </c>
      <c r="B31" s="2">
        <v>1730.92</v>
      </c>
      <c r="C31" s="3">
        <v>1034</v>
      </c>
      <c r="D31" s="3">
        <v>291</v>
      </c>
      <c r="E31" s="3">
        <v>7</v>
      </c>
      <c r="F31" s="1">
        <v>5.9481786941580701</v>
      </c>
    </row>
    <row r="32" spans="1:6" x14ac:dyDescent="0.25">
      <c r="A32" t="s">
        <v>38</v>
      </c>
      <c r="B32" s="2">
        <v>1693.88</v>
      </c>
      <c r="C32" s="3">
        <v>386</v>
      </c>
      <c r="D32" s="3">
        <v>45</v>
      </c>
      <c r="E32" s="3">
        <v>1</v>
      </c>
      <c r="F32" s="1">
        <v>37.641777777777698</v>
      </c>
    </row>
    <row r="33" spans="1:6" x14ac:dyDescent="0.25">
      <c r="A33" t="s">
        <v>39</v>
      </c>
      <c r="B33" s="2">
        <v>1661.06</v>
      </c>
      <c r="C33" s="3">
        <v>652</v>
      </c>
      <c r="D33" s="3">
        <v>35</v>
      </c>
      <c r="E33" s="3">
        <v>4</v>
      </c>
      <c r="F33" s="1">
        <v>47.458857142857099</v>
      </c>
    </row>
    <row r="34" spans="1:6" x14ac:dyDescent="0.25">
      <c r="A34" t="s">
        <v>40</v>
      </c>
      <c r="B34" s="2">
        <v>1291.75</v>
      </c>
      <c r="C34" s="3">
        <v>497</v>
      </c>
      <c r="D34" s="3">
        <v>61</v>
      </c>
      <c r="E34" s="3">
        <v>5</v>
      </c>
      <c r="F34" s="1">
        <v>21.176229508196698</v>
      </c>
    </row>
    <row r="35" spans="1:6" x14ac:dyDescent="0.25">
      <c r="A35" t="s">
        <v>41</v>
      </c>
      <c r="B35" s="2">
        <v>1143.5999999999999</v>
      </c>
      <c r="C35" s="3">
        <v>356</v>
      </c>
      <c r="D35" s="3">
        <v>32</v>
      </c>
      <c r="E35" s="3">
        <v>1</v>
      </c>
      <c r="F35" s="1">
        <v>35.737499999999997</v>
      </c>
    </row>
    <row r="36" spans="1:6" x14ac:dyDescent="0.25">
      <c r="A36" t="s">
        <v>42</v>
      </c>
      <c r="B36" s="2">
        <v>1002.31</v>
      </c>
      <c r="C36" s="3">
        <v>352</v>
      </c>
      <c r="D36" s="3">
        <v>58</v>
      </c>
      <c r="E36" s="3">
        <v>1</v>
      </c>
      <c r="F36" s="1">
        <v>17.281206896551701</v>
      </c>
    </row>
    <row r="37" spans="1:6" x14ac:dyDescent="0.25">
      <c r="A37" t="s">
        <v>43</v>
      </c>
      <c r="B37" s="2">
        <v>707.72</v>
      </c>
      <c r="C37" s="3">
        <v>592</v>
      </c>
      <c r="D37" s="3">
        <v>30</v>
      </c>
      <c r="E37" s="3">
        <v>5</v>
      </c>
      <c r="F37" s="1">
        <v>23.5906666666666</v>
      </c>
    </row>
    <row r="38" spans="1:6" x14ac:dyDescent="0.25">
      <c r="A38" t="s">
        <v>44</v>
      </c>
      <c r="B38" s="2">
        <v>548.4</v>
      </c>
      <c r="C38" s="3">
        <v>260</v>
      </c>
      <c r="D38" s="3">
        <v>19</v>
      </c>
      <c r="E38" s="3">
        <v>4</v>
      </c>
      <c r="F38" s="1">
        <v>28.863157894736801</v>
      </c>
    </row>
    <row r="39" spans="1:6" x14ac:dyDescent="0.25">
      <c r="A39" t="s">
        <v>45</v>
      </c>
      <c r="B39" s="2">
        <v>131.16999999999999</v>
      </c>
      <c r="C39" s="3">
        <v>75</v>
      </c>
      <c r="D39" s="3">
        <v>10</v>
      </c>
      <c r="E39" s="3">
        <v>2</v>
      </c>
      <c r="F39" s="1">
        <v>13.1169999999999</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4"/>
  <sheetViews>
    <sheetView workbookViewId="0">
      <selection activeCell="D5" sqref="D5"/>
    </sheetView>
  </sheetViews>
  <sheetFormatPr defaultRowHeight="15" x14ac:dyDescent="0.25"/>
  <cols>
    <col min="1" max="1" width="13.140625" customWidth="1"/>
    <col min="2" max="2" width="21" bestFit="1" customWidth="1"/>
    <col min="4" max="4" width="13.140625" bestFit="1" customWidth="1"/>
    <col min="5" max="5" width="21.140625" bestFit="1" customWidth="1"/>
  </cols>
  <sheetData>
    <row r="3" spans="1:5" x14ac:dyDescent="0.25">
      <c r="A3" s="10" t="s">
        <v>72</v>
      </c>
      <c r="B3" t="s">
        <v>76</v>
      </c>
      <c r="D3" s="10" t="s">
        <v>72</v>
      </c>
      <c r="E3" t="s">
        <v>75</v>
      </c>
    </row>
    <row r="4" spans="1:5" x14ac:dyDescent="0.25">
      <c r="A4" s="11" t="s">
        <v>47</v>
      </c>
      <c r="B4" s="12">
        <v>707</v>
      </c>
      <c r="D4" s="11">
        <v>79321</v>
      </c>
      <c r="E4" s="2">
        <v>53768.06</v>
      </c>
    </row>
    <row r="5" spans="1:5" x14ac:dyDescent="0.25">
      <c r="A5" s="11" t="s">
        <v>56</v>
      </c>
      <c r="B5" s="12">
        <v>3003</v>
      </c>
      <c r="D5" s="11">
        <v>84879</v>
      </c>
      <c r="E5" s="2">
        <v>58959.729999999901</v>
      </c>
    </row>
    <row r="6" spans="1:5" x14ac:dyDescent="0.25">
      <c r="A6" s="11">
        <v>79321</v>
      </c>
      <c r="B6" s="12">
        <v>10229</v>
      </c>
      <c r="D6" s="11">
        <v>22086</v>
      </c>
      <c r="E6" s="2">
        <v>63791.94</v>
      </c>
    </row>
    <row r="7" spans="1:5" x14ac:dyDescent="0.25">
      <c r="A7" s="11">
        <v>22423</v>
      </c>
      <c r="B7" s="12">
        <v>13033</v>
      </c>
      <c r="D7" s="11" t="s">
        <v>56</v>
      </c>
      <c r="E7" s="2">
        <v>66230.64</v>
      </c>
    </row>
    <row r="8" spans="1:5" x14ac:dyDescent="0.25">
      <c r="A8" s="11">
        <v>47566</v>
      </c>
      <c r="B8" s="12">
        <v>18022</v>
      </c>
      <c r="D8" s="11">
        <v>23084</v>
      </c>
      <c r="E8" s="2">
        <v>66756.59</v>
      </c>
    </row>
    <row r="9" spans="1:5" x14ac:dyDescent="0.25">
      <c r="A9" s="11">
        <v>22086</v>
      </c>
      <c r="B9" s="12">
        <v>18902</v>
      </c>
      <c r="D9" s="11" t="s">
        <v>53</v>
      </c>
      <c r="E9" s="2">
        <v>92356.03</v>
      </c>
    </row>
    <row r="10" spans="1:5" x14ac:dyDescent="0.25">
      <c r="A10" s="11">
        <v>23084</v>
      </c>
      <c r="B10" s="12">
        <v>30680</v>
      </c>
      <c r="D10" s="11" t="s">
        <v>51</v>
      </c>
      <c r="E10" s="2">
        <v>97715.99</v>
      </c>
    </row>
    <row r="11" spans="1:5" x14ac:dyDescent="0.25">
      <c r="A11" s="11" t="s">
        <v>51</v>
      </c>
      <c r="B11" s="12">
        <v>35025</v>
      </c>
      <c r="D11" s="11">
        <v>47566</v>
      </c>
      <c r="E11" s="2">
        <v>98302.98</v>
      </c>
    </row>
    <row r="12" spans="1:5" x14ac:dyDescent="0.25">
      <c r="A12" s="11">
        <v>84879</v>
      </c>
      <c r="B12" s="12">
        <v>36381</v>
      </c>
      <c r="D12" s="11">
        <v>22423</v>
      </c>
      <c r="E12" s="2">
        <v>164762.19</v>
      </c>
    </row>
    <row r="13" spans="1:5" x14ac:dyDescent="0.25">
      <c r="A13" s="11" t="s">
        <v>53</v>
      </c>
      <c r="B13" s="12">
        <v>47363</v>
      </c>
      <c r="D13" s="11" t="s">
        <v>47</v>
      </c>
      <c r="E13" s="2">
        <v>206245.48</v>
      </c>
    </row>
    <row r="14" spans="1:5" x14ac:dyDescent="0.25">
      <c r="A14" s="11" t="s">
        <v>73</v>
      </c>
      <c r="B14" s="12">
        <v>213345</v>
      </c>
      <c r="D14" s="11" t="s">
        <v>73</v>
      </c>
      <c r="E14" s="2">
        <v>968889.62999999989</v>
      </c>
    </row>
  </sheetData>
  <pageMargins left="0.7" right="0.7" top="0.75" bottom="0.75" header="0.3" footer="0.3"/>
  <pageSetup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B3" sqref="B3"/>
    </sheetView>
  </sheetViews>
  <sheetFormatPr defaultRowHeight="15" x14ac:dyDescent="0.25"/>
  <cols>
    <col min="1" max="1" width="12.140625" style="5" customWidth="1"/>
    <col min="2" max="2" width="37.28515625" bestFit="1" customWidth="1"/>
    <col min="3" max="3" width="17.140625" style="3" customWidth="1"/>
    <col min="4" max="4" width="16.42578125" style="2" customWidth="1"/>
  </cols>
  <sheetData>
    <row r="1" spans="1:4" x14ac:dyDescent="0.25">
      <c r="A1" s="5" t="s">
        <v>61</v>
      </c>
      <c r="B1" t="s">
        <v>62</v>
      </c>
      <c r="C1" s="3" t="s">
        <v>3</v>
      </c>
      <c r="D1" s="2" t="s">
        <v>2</v>
      </c>
    </row>
    <row r="2" spans="1:4" x14ac:dyDescent="0.25">
      <c r="A2" s="5" t="s">
        <v>47</v>
      </c>
      <c r="B2" t="s">
        <v>48</v>
      </c>
      <c r="C2" s="3">
        <v>707</v>
      </c>
      <c r="D2" s="2">
        <v>206245.48</v>
      </c>
    </row>
    <row r="3" spans="1:4" x14ac:dyDescent="0.25">
      <c r="A3" s="5">
        <v>22423</v>
      </c>
      <c r="B3" t="s">
        <v>49</v>
      </c>
      <c r="C3" s="3">
        <v>13033</v>
      </c>
      <c r="D3" s="2">
        <v>164762.19</v>
      </c>
    </row>
    <row r="4" spans="1:4" x14ac:dyDescent="0.25">
      <c r="A4" s="5">
        <v>47566</v>
      </c>
      <c r="B4" t="s">
        <v>50</v>
      </c>
      <c r="C4" s="3">
        <v>18022</v>
      </c>
      <c r="D4" s="2">
        <v>98302.98</v>
      </c>
    </row>
    <row r="5" spans="1:4" x14ac:dyDescent="0.25">
      <c r="A5" s="5" t="s">
        <v>51</v>
      </c>
      <c r="B5" t="s">
        <v>52</v>
      </c>
      <c r="C5" s="3">
        <v>35025</v>
      </c>
      <c r="D5" s="2">
        <v>97715.99</v>
      </c>
    </row>
    <row r="6" spans="1:4" x14ac:dyDescent="0.25">
      <c r="A6" s="5" t="s">
        <v>53</v>
      </c>
      <c r="B6" t="s">
        <v>54</v>
      </c>
      <c r="C6" s="3">
        <v>47363</v>
      </c>
      <c r="D6" s="2">
        <v>92356.03</v>
      </c>
    </row>
    <row r="7" spans="1:4" x14ac:dyDescent="0.25">
      <c r="A7" s="5">
        <v>23084</v>
      </c>
      <c r="B7" t="s">
        <v>55</v>
      </c>
      <c r="C7" s="3">
        <v>30680</v>
      </c>
      <c r="D7" s="2">
        <v>66756.59</v>
      </c>
    </row>
    <row r="8" spans="1:4" x14ac:dyDescent="0.25">
      <c r="A8" s="5" t="s">
        <v>56</v>
      </c>
      <c r="B8" t="s">
        <v>57</v>
      </c>
      <c r="C8" s="3">
        <v>3003</v>
      </c>
      <c r="D8" s="2">
        <v>66230.64</v>
      </c>
    </row>
    <row r="9" spans="1:4" x14ac:dyDescent="0.25">
      <c r="A9" s="5">
        <v>22086</v>
      </c>
      <c r="B9" t="s">
        <v>58</v>
      </c>
      <c r="C9" s="3">
        <v>18902</v>
      </c>
      <c r="D9" s="2">
        <v>63791.94</v>
      </c>
    </row>
    <row r="10" spans="1:4" x14ac:dyDescent="0.25">
      <c r="A10" s="5">
        <v>84879</v>
      </c>
      <c r="B10" t="s">
        <v>59</v>
      </c>
      <c r="C10" s="3">
        <v>36381</v>
      </c>
      <c r="D10" s="2">
        <v>58959.729999999901</v>
      </c>
    </row>
    <row r="11" spans="1:4" x14ac:dyDescent="0.25">
      <c r="A11" s="5">
        <v>79321</v>
      </c>
      <c r="B11" t="s">
        <v>60</v>
      </c>
      <c r="C11" s="3">
        <v>10229</v>
      </c>
      <c r="D11" s="2">
        <v>53768.06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4"/>
  <sheetViews>
    <sheetView workbookViewId="0">
      <selection activeCell="A4" sqref="A4"/>
    </sheetView>
  </sheetViews>
  <sheetFormatPr defaultRowHeight="15" x14ac:dyDescent="0.25"/>
  <cols>
    <col min="1" max="1" width="13.140625" customWidth="1"/>
    <col min="2" max="2" width="21.140625" bestFit="1" customWidth="1"/>
    <col min="4" max="4" width="13.140625" bestFit="1" customWidth="1"/>
    <col min="5" max="5" width="21" customWidth="1"/>
    <col min="6" max="6" width="21" bestFit="1" customWidth="1"/>
    <col min="7" max="7" width="13.140625" bestFit="1" customWidth="1"/>
    <col min="8" max="9" width="21.5703125" bestFit="1" customWidth="1"/>
  </cols>
  <sheetData>
    <row r="3" spans="1:8" x14ac:dyDescent="0.25">
      <c r="A3" s="10" t="s">
        <v>72</v>
      </c>
      <c r="B3" t="s">
        <v>75</v>
      </c>
      <c r="D3" s="10" t="s">
        <v>72</v>
      </c>
      <c r="E3" t="s">
        <v>76</v>
      </c>
      <c r="G3" s="10" t="s">
        <v>72</v>
      </c>
      <c r="H3" t="s">
        <v>79</v>
      </c>
    </row>
    <row r="4" spans="1:8" x14ac:dyDescent="0.25">
      <c r="A4" s="11">
        <v>17511</v>
      </c>
      <c r="B4" s="2">
        <v>88125.38</v>
      </c>
      <c r="D4" s="11">
        <v>14646</v>
      </c>
      <c r="E4" s="12">
        <v>196719</v>
      </c>
      <c r="G4" s="11">
        <v>14911</v>
      </c>
      <c r="H4" s="12">
        <v>248</v>
      </c>
    </row>
    <row r="5" spans="1:8" x14ac:dyDescent="0.25">
      <c r="A5" s="11">
        <v>14156</v>
      </c>
      <c r="B5" s="2">
        <v>113384.14</v>
      </c>
      <c r="D5" s="11">
        <v>12415</v>
      </c>
      <c r="E5" s="12">
        <v>77242</v>
      </c>
      <c r="G5" s="11">
        <v>15311</v>
      </c>
      <c r="H5" s="12">
        <v>118</v>
      </c>
    </row>
    <row r="6" spans="1:8" x14ac:dyDescent="0.25">
      <c r="A6" s="11">
        <v>12415</v>
      </c>
      <c r="B6" s="2">
        <v>123725.45</v>
      </c>
      <c r="D6" s="11">
        <v>14911</v>
      </c>
      <c r="E6" s="12">
        <v>77180</v>
      </c>
      <c r="G6" s="11">
        <v>14646</v>
      </c>
      <c r="H6" s="12">
        <v>77</v>
      </c>
    </row>
    <row r="7" spans="1:8" x14ac:dyDescent="0.25">
      <c r="A7" s="11">
        <v>14911</v>
      </c>
      <c r="B7" s="2">
        <v>132572.62</v>
      </c>
      <c r="D7" s="11">
        <v>17450</v>
      </c>
      <c r="E7" s="12">
        <v>69029</v>
      </c>
      <c r="G7" s="11">
        <v>14156</v>
      </c>
      <c r="H7" s="12">
        <v>66</v>
      </c>
    </row>
    <row r="8" spans="1:8" x14ac:dyDescent="0.25">
      <c r="A8" s="11">
        <v>17450</v>
      </c>
      <c r="B8" s="2">
        <v>187482.16999999899</v>
      </c>
      <c r="D8" s="11">
        <v>18102</v>
      </c>
      <c r="E8" s="12">
        <v>64122</v>
      </c>
      <c r="G8" s="11">
        <v>18102</v>
      </c>
      <c r="H8" s="12">
        <v>62</v>
      </c>
    </row>
    <row r="9" spans="1:8" x14ac:dyDescent="0.25">
      <c r="A9" s="11">
        <v>18102</v>
      </c>
      <c r="B9" s="2">
        <v>256438.49</v>
      </c>
      <c r="D9" s="11">
        <v>17511</v>
      </c>
      <c r="E9" s="12">
        <v>63012</v>
      </c>
      <c r="G9" s="11">
        <v>13694</v>
      </c>
      <c r="H9" s="12">
        <v>60</v>
      </c>
    </row>
    <row r="10" spans="1:8" x14ac:dyDescent="0.25">
      <c r="A10" s="11">
        <v>14646</v>
      </c>
      <c r="B10" s="2">
        <v>279489.02</v>
      </c>
      <c r="D10" s="11">
        <v>13694</v>
      </c>
      <c r="E10" s="12">
        <v>61803</v>
      </c>
      <c r="G10" s="11">
        <v>17450</v>
      </c>
      <c r="H10" s="12">
        <v>55</v>
      </c>
    </row>
    <row r="11" spans="1:8" x14ac:dyDescent="0.25">
      <c r="A11" s="11" t="s">
        <v>73</v>
      </c>
      <c r="B11" s="2">
        <v>1181217.2699999991</v>
      </c>
      <c r="D11" s="11">
        <v>14156</v>
      </c>
      <c r="E11" s="12">
        <v>57025</v>
      </c>
      <c r="G11" s="11">
        <v>17511</v>
      </c>
      <c r="H11" s="12">
        <v>46</v>
      </c>
    </row>
    <row r="12" spans="1:8" x14ac:dyDescent="0.25">
      <c r="D12" s="11">
        <v>16684</v>
      </c>
      <c r="E12" s="12">
        <v>49390</v>
      </c>
      <c r="G12" s="11">
        <v>16684</v>
      </c>
      <c r="H12" s="12">
        <v>31</v>
      </c>
    </row>
    <row r="13" spans="1:8" x14ac:dyDescent="0.25">
      <c r="D13" s="11">
        <v>15311</v>
      </c>
      <c r="E13" s="12">
        <v>37720</v>
      </c>
      <c r="G13" s="11">
        <v>12415</v>
      </c>
      <c r="H13" s="12">
        <v>26</v>
      </c>
    </row>
    <row r="14" spans="1:8" x14ac:dyDescent="0.25">
      <c r="D14" s="11" t="s">
        <v>73</v>
      </c>
      <c r="E14" s="12">
        <v>753242</v>
      </c>
      <c r="G14" s="11" t="s">
        <v>73</v>
      </c>
      <c r="H14" s="12">
        <v>789</v>
      </c>
    </row>
  </sheetData>
  <pageMargins left="0.7" right="0.7" top="0.75" bottom="0.75" header="0.3" footer="0.3"/>
  <pageSetup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A2" sqref="A2"/>
    </sheetView>
  </sheetViews>
  <sheetFormatPr defaultRowHeight="15" x14ac:dyDescent="0.25"/>
  <cols>
    <col min="1" max="1" width="14.28515625" customWidth="1"/>
    <col min="2" max="2" width="16.7109375" customWidth="1"/>
    <col min="3" max="3" width="17.140625" style="3" customWidth="1"/>
    <col min="4" max="4" width="16.42578125" style="2" customWidth="1"/>
  </cols>
  <sheetData>
    <row r="1" spans="1:4" x14ac:dyDescent="0.25">
      <c r="A1" t="s">
        <v>63</v>
      </c>
      <c r="B1" t="s">
        <v>7</v>
      </c>
      <c r="C1" s="3" t="s">
        <v>3</v>
      </c>
      <c r="D1" s="2" t="s">
        <v>2</v>
      </c>
    </row>
    <row r="2" spans="1:4" x14ac:dyDescent="0.25">
      <c r="A2">
        <v>14646</v>
      </c>
      <c r="B2">
        <v>77</v>
      </c>
      <c r="C2" s="3">
        <v>196719</v>
      </c>
      <c r="D2" s="2">
        <v>279489.02</v>
      </c>
    </row>
    <row r="3" spans="1:4" x14ac:dyDescent="0.25">
      <c r="A3">
        <v>18102</v>
      </c>
      <c r="B3">
        <v>62</v>
      </c>
      <c r="C3" s="3">
        <v>64122</v>
      </c>
      <c r="D3" s="2">
        <v>256438.49</v>
      </c>
    </row>
    <row r="4" spans="1:4" x14ac:dyDescent="0.25">
      <c r="A4">
        <v>17450</v>
      </c>
      <c r="B4">
        <v>55</v>
      </c>
      <c r="C4" s="3">
        <v>69029</v>
      </c>
      <c r="D4" s="2">
        <v>187482.16999999899</v>
      </c>
    </row>
    <row r="5" spans="1:4" x14ac:dyDescent="0.25">
      <c r="A5">
        <v>14911</v>
      </c>
      <c r="B5">
        <v>248</v>
      </c>
      <c r="C5" s="3">
        <v>77180</v>
      </c>
      <c r="D5" s="2">
        <v>132572.62</v>
      </c>
    </row>
    <row r="6" spans="1:4" x14ac:dyDescent="0.25">
      <c r="A6">
        <v>12415</v>
      </c>
      <c r="B6">
        <v>26</v>
      </c>
      <c r="C6" s="3">
        <v>77242</v>
      </c>
      <c r="D6" s="2">
        <v>123725.45</v>
      </c>
    </row>
    <row r="7" spans="1:4" x14ac:dyDescent="0.25">
      <c r="A7">
        <v>14156</v>
      </c>
      <c r="B7">
        <v>66</v>
      </c>
      <c r="C7" s="3">
        <v>57025</v>
      </c>
      <c r="D7" s="2">
        <v>113384.14</v>
      </c>
    </row>
    <row r="8" spans="1:4" x14ac:dyDescent="0.25">
      <c r="A8">
        <v>17511</v>
      </c>
      <c r="B8">
        <v>46</v>
      </c>
      <c r="C8" s="3">
        <v>63012</v>
      </c>
      <c r="D8" s="2">
        <v>88125.38</v>
      </c>
    </row>
    <row r="9" spans="1:4" x14ac:dyDescent="0.25">
      <c r="A9">
        <v>16684</v>
      </c>
      <c r="B9">
        <v>31</v>
      </c>
      <c r="C9" s="3">
        <v>49390</v>
      </c>
      <c r="D9" s="2">
        <v>65892.08</v>
      </c>
    </row>
    <row r="10" spans="1:4" x14ac:dyDescent="0.25">
      <c r="A10">
        <v>13694</v>
      </c>
      <c r="B10">
        <v>60</v>
      </c>
      <c r="C10" s="3">
        <v>61803</v>
      </c>
      <c r="D10" s="2">
        <v>62653.1</v>
      </c>
    </row>
    <row r="11" spans="1:4" x14ac:dyDescent="0.25">
      <c r="A11">
        <v>15311</v>
      </c>
      <c r="B11">
        <v>118</v>
      </c>
      <c r="C11" s="3">
        <v>37720</v>
      </c>
      <c r="D11" s="2">
        <v>59419.34</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election activeCell="B2" sqref="B2"/>
    </sheetView>
  </sheetViews>
  <sheetFormatPr defaultRowHeight="15" x14ac:dyDescent="0.25"/>
  <cols>
    <col min="1" max="1" width="24.28515625" style="3" customWidth="1"/>
    <col min="2" max="2" width="28.5703125" style="3" customWidth="1"/>
    <col min="3" max="3" width="28.140625" style="3" customWidth="1"/>
    <col min="4" max="4" width="22.85546875" style="8" customWidth="1"/>
    <col min="5" max="5" width="34.42578125" style="2" customWidth="1"/>
  </cols>
  <sheetData>
    <row r="1" spans="1:5" x14ac:dyDescent="0.25">
      <c r="A1" s="3" t="s">
        <v>64</v>
      </c>
      <c r="B1" s="3" t="s">
        <v>65</v>
      </c>
      <c r="C1" s="3" t="s">
        <v>66</v>
      </c>
      <c r="D1" s="8" t="s">
        <v>67</v>
      </c>
      <c r="E1" s="2" t="s">
        <v>68</v>
      </c>
    </row>
    <row r="2" spans="1:5" x14ac:dyDescent="0.25">
      <c r="A2" s="3">
        <v>25900</v>
      </c>
      <c r="B2" s="3">
        <v>3836</v>
      </c>
      <c r="C2" s="3">
        <v>9288</v>
      </c>
      <c r="D2" s="8">
        <v>-277574</v>
      </c>
      <c r="E2" s="2">
        <v>-896812.49</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C2" sqref="C2"/>
    </sheetView>
  </sheetViews>
  <sheetFormatPr defaultRowHeight="15" x14ac:dyDescent="0.25"/>
  <cols>
    <col min="1" max="1" width="27.85546875" customWidth="1"/>
    <col min="2" max="2" width="30.42578125" customWidth="1"/>
    <col min="3" max="3" width="32.140625" customWidth="1"/>
  </cols>
  <sheetData>
    <row r="1" spans="1:3" x14ac:dyDescent="0.25">
      <c r="A1" t="s">
        <v>69</v>
      </c>
      <c r="B1" t="s">
        <v>70</v>
      </c>
      <c r="C1" t="s">
        <v>71</v>
      </c>
    </row>
    <row r="2" spans="1:3" x14ac:dyDescent="0.25">
      <c r="A2" s="2">
        <v>1369181.79</v>
      </c>
      <c r="B2" s="2">
        <v>8300065.8140000002</v>
      </c>
      <c r="C2" s="9">
        <v>16.5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Monthly - Pivot Tables</vt:lpstr>
      <vt:lpstr>Monthly Performance</vt:lpstr>
      <vt:lpstr>Country - Pivot Tables</vt:lpstr>
      <vt:lpstr>Country Performance</vt:lpstr>
      <vt:lpstr>Products - Pivot Tables</vt:lpstr>
      <vt:lpstr>Product Performance</vt:lpstr>
      <vt:lpstr>Customer - Pivot Tables</vt:lpstr>
      <vt:lpstr>Customer Performance</vt:lpstr>
      <vt:lpstr>Cancellations</vt:lpstr>
      <vt:lpstr>Revenue Concentration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SEGUN</dc:creator>
  <cp:lastModifiedBy>SEGUN</cp:lastModifiedBy>
  <dcterms:created xsi:type="dcterms:W3CDTF">2026-09-17T08:03:43Z</dcterms:created>
  <dcterms:modified xsi:type="dcterms:W3CDTF">2026-09-28T12:38:14Z</dcterms:modified>
</cp:coreProperties>
</file>